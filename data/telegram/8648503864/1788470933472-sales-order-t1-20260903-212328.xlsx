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Замовлення" state="visible" r:id="rId4"/>
  </sheets>
  <calcPr calcId="171027" fullCalcOnLoad="1"/>
</workbook>
</file>

<file path=xl/sharedStrings.xml><?xml version="1.0" encoding="utf-8"?>
<sst xmlns="http://schemas.openxmlformats.org/spreadsheetml/2006/main" count="1372" uniqueCount="825">
  <si>
    <t>Місце зберігання</t>
  </si>
  <si>
    <t/>
  </si>
  <si>
    <t>Начало</t>
  </si>
  <si>
    <t>Приход</t>
  </si>
  <si>
    <t>Расход</t>
  </si>
  <si>
    <t>Отчет о розничных продажах</t>
  </si>
  <si>
    <t>Продажа покупателю</t>
  </si>
  <si>
    <t>Конец</t>
  </si>
  <si>
    <t>Заказ</t>
  </si>
  <si>
    <t>PJ10060</t>
  </si>
  <si>
    <t>Універсальна змазка на силіконовій основі pjur Original 100 мл, 2в1: для сексу та масажу</t>
  </si>
  <si>
    <t>PJ10160</t>
  </si>
  <si>
    <t>Змазка на силіконовій основі pjur Woman 30 мл, без ароматизаторів та консервантів спеціально для неї</t>
  </si>
  <si>
    <t>PJ10210</t>
  </si>
  <si>
    <t>Силіконова змазка pjur Light 100 мл найбільш рідка, 2в1 для сексу та масажу</t>
  </si>
  <si>
    <t>PJ10330</t>
  </si>
  <si>
    <t>Лубрикант на водній основі pjur Aqua 30 мл, ефект оксамитової шкіри без прилипання</t>
  </si>
  <si>
    <t>PJ10340</t>
  </si>
  <si>
    <t>Лубрикант на водній основі pjur Aqua 100 мл, ефект оксамитової шкіри без прилипання</t>
  </si>
  <si>
    <t>PJ10370</t>
  </si>
  <si>
    <t>Лубрикант на водній основі pjur Woman Aqua 100 мл для інтенсивного ковзання, зволоження та догляд</t>
  </si>
  <si>
    <t>PJ10500</t>
  </si>
  <si>
    <t>Анальна змазка pjur analyse me! Relaxing jojoba silicone 30 мл на силіконовій основі з олією жожоба</t>
  </si>
  <si>
    <t>PJ10550</t>
  </si>
  <si>
    <t>Збуджувальна змазка на водній основі pjur my glide 30 мл, з женьшенем, зігріває</t>
  </si>
  <si>
    <t>PJ10560</t>
  </si>
  <si>
    <t>Збуджувальна змазка на водній основі pjur my glide 100 мл, із женьшенем, зігріває</t>
  </si>
  <si>
    <t>PJ10640</t>
  </si>
  <si>
    <t>Густа силіконова змазка pjur MAN Premium Extremeglide 100 мл із тривалим ефектом, економна</t>
  </si>
  <si>
    <t>PJ10850</t>
  </si>
  <si>
    <t>Лубрикант на водній основі pjur MED Natural glide 100 мл спеціально для сухої та чутливої ​​шкіри</t>
  </si>
  <si>
    <t>PJ10910</t>
  </si>
  <si>
    <t>Пролонгувальний спрей pjur MED Prolong Spray 20 мл із екстрактом дубової кори та пантенолом</t>
  </si>
  <si>
    <t>PJ11730</t>
  </si>
  <si>
    <t>Анальна змазка pjur analyse me! Comfort water glide 30 мл на водній основі з гіалуроном</t>
  </si>
  <si>
    <t>PJ11740</t>
  </si>
  <si>
    <t>Анальна змазка pjur analyse me! Comfort water glide 100 мл на водній основі з гіалуроном</t>
  </si>
  <si>
    <t>PJ11760</t>
  </si>
  <si>
    <t>Анальна змазка pjur backdoor Comfort water glide 30 мл на водній основі з гіалуроном</t>
  </si>
  <si>
    <t>PJ11850</t>
  </si>
  <si>
    <t>Змазка на водній основі pjur Woman Nude 30 мл без консервантів, парабенів, гліцерину</t>
  </si>
  <si>
    <t>PJ11860</t>
  </si>
  <si>
    <t>Змазка на водній основі pjur Woman Nude 100 мл без консервантів, парабенів, гліцерину</t>
  </si>
  <si>
    <t>PJ12090</t>
  </si>
  <si>
    <t>Пролонгувальний гель pjur Superhero Serum 20 мл, створює невидиму плівку, що знижує чутливість</t>
  </si>
  <si>
    <t>PJ12660</t>
  </si>
  <si>
    <t>Лубрикант на водній основі pjur MED Sensitive glide 100 мл для надчутливої ​​шкіри</t>
  </si>
  <si>
    <t>PJ12810</t>
  </si>
  <si>
    <t>Антибактеріальний спрей pjur We-Vibe Clean 100 мл без спирту та ароматизаторів</t>
  </si>
  <si>
    <t>PJ12920</t>
  </si>
  <si>
    <t>Пролонгувальний спрей pjur Superhero Strong Spray 20 ml, з екстрактом імбиру, всотується в шкіру</t>
  </si>
  <si>
    <t>PJ13310</t>
  </si>
  <si>
    <t>Лубрикант на водній основі pjur Woman Aloe 30 мл з екстрактом алое, зволожувальний, без парабенів</t>
  </si>
  <si>
    <t>PJ13320</t>
  </si>
  <si>
    <t>Лубрикант на водній основі pjur Woman Aloe 100 мл з екстрактом алое, зволожувальний, без парабенів</t>
  </si>
  <si>
    <t>PJ13330</t>
  </si>
  <si>
    <t>Лубрикант на водній основі pjur Woman Vegan 30 мл, чистий веганський склад, без консервантів</t>
  </si>
  <si>
    <t>PJ13340</t>
  </si>
  <si>
    <t>Лубрикант на водній основі pjur Woman Vegan 100 мл, чистий веганський склад, без консервантів</t>
  </si>
  <si>
    <t>PJ13630</t>
  </si>
  <si>
    <t>Анальна змазка pjur backdoor Regenerating 30 мл на водній основі, з пантенолом та екстрактом ромашки</t>
  </si>
  <si>
    <t>SX0390</t>
  </si>
  <si>
    <t>Еротичний костюм зайчика JSY 8302 One Size</t>
  </si>
  <si>
    <t>SX0393</t>
  </si>
  <si>
    <t>Еротичний костюм медсестри JSY 8306 One Size</t>
  </si>
  <si>
    <t>SX0396</t>
  </si>
  <si>
    <t>Еротичний костюм покоївки JSY 8309 One Size</t>
  </si>
  <si>
    <t>SX0397</t>
  </si>
  <si>
    <t>Еротичний костюм поліцейської JSY 8310 One Size</t>
  </si>
  <si>
    <t>SX0398</t>
  </si>
  <si>
    <t>Еротичний костюм студентки JSY 8313 One Size</t>
  </si>
  <si>
    <t>SX0448</t>
  </si>
  <si>
    <t>Бодістокінг JSY WW7002-B One Size</t>
  </si>
  <si>
    <t>SX0528</t>
  </si>
  <si>
    <t>Смарт-вібратор для пар We-Vibe Sync GO Turquoise</t>
  </si>
  <si>
    <t>SX0582</t>
  </si>
  <si>
    <t>Лубрикант на водній основі Swiss Navy NAKED All Natural 29,5 мл, для чутливої ​​шкіри</t>
  </si>
  <si>
    <t>SX0583</t>
  </si>
  <si>
    <t>Лубрикант на водній основі Swiss Navy NAKED All Natural 59 мл, для чутливої ​​шкіри</t>
  </si>
  <si>
    <t>SX0584</t>
  </si>
  <si>
    <t>Лубрикант на водній основі Swiss Navy NAKED All Natural 118 мл, для чутливої ​​шкіри</t>
  </si>
  <si>
    <t>SX0645</t>
  </si>
  <si>
    <t>Мінівібратор «Сердечко» FairyGasm PleasureStone red, 9 режимів, на шнурку</t>
  </si>
  <si>
    <t>SX0656</t>
  </si>
  <si>
    <t>Еротична гра «Ще ближче» (UA)</t>
  </si>
  <si>
    <t>SX0721</t>
  </si>
  <si>
    <t>Змазка на водній основі  JO H2O Waterbased Aloe (60 мл)</t>
  </si>
  <si>
    <t>SX0728</t>
  </si>
  <si>
    <t>Інтерактивне віброяйце Svakom Phoenix Neo 2 Pastel Lilac, оновлена модель</t>
  </si>
  <si>
    <t>SX0741</t>
  </si>
  <si>
    <t>Набір презервативів ONE Classic Select - Artist Collection 100 шт, мегапак тюб</t>
  </si>
  <si>
    <t>SX0745</t>
  </si>
  <si>
    <t>Презерватив ONE Classic Select - Contest Collection 1 шт</t>
  </si>
  <si>
    <t>SX0747</t>
  </si>
  <si>
    <t>Презерватив ONE Glowing Pleasures 1 шт</t>
  </si>
  <si>
    <t>SX0749</t>
  </si>
  <si>
    <t>Презерватив ONE FlavorWaves 1 шт зі смаком Mint Chocolate</t>
  </si>
  <si>
    <t>SX0750</t>
  </si>
  <si>
    <t>Презерватив ONE FlavorWaves 1 шт зі смаком Island Punch</t>
  </si>
  <si>
    <t>SX0751</t>
  </si>
  <si>
    <t>Презерватив ONE FlavorWaves 1 шт зі смаком Bubblegum</t>
  </si>
  <si>
    <t>SX0752</t>
  </si>
  <si>
    <t>Презерватив ONE FlavorWaves 1 шт зі смаком Fresh Mint</t>
  </si>
  <si>
    <t>SX0753</t>
  </si>
  <si>
    <t>Презерватив ONE FlavorWaves 1 шт зі смаком Banana Split</t>
  </si>
  <si>
    <t>SX0755</t>
  </si>
  <si>
    <t>Презерватив ONE Tattoo Touch Blue 1 шт</t>
  </si>
  <si>
    <t>SX0756</t>
  </si>
  <si>
    <t>Презерватив ONE Tattoo Touch Red 1 шт</t>
  </si>
  <si>
    <t>SX0757</t>
  </si>
  <si>
    <t>Презерватив ONE Tattoo Touch Purple 1 шт</t>
  </si>
  <si>
    <t>SX0758</t>
  </si>
  <si>
    <t>Презерватив ONE Street Art Collection 1 шт</t>
  </si>
  <si>
    <t>SX0759</t>
  </si>
  <si>
    <t>Презерватив ONE Artist Collection 1 шт</t>
  </si>
  <si>
    <t>SX0760</t>
  </si>
  <si>
    <t>Презерватив ONE MSM Collection 1 шт</t>
  </si>
  <si>
    <t>SX0761</t>
  </si>
  <si>
    <t>Презерватив ONE Legend Extra Large 1 шт</t>
  </si>
  <si>
    <t>SX0762</t>
  </si>
  <si>
    <t>Презерватив ONE Pleasure Plus 1 шт</t>
  </si>
  <si>
    <t>SX0763</t>
  </si>
  <si>
    <t>Презерватив ONE Color Sensations - Catch the perfect ONE (Aqua) 1 шт</t>
  </si>
  <si>
    <t>SX0764</t>
  </si>
  <si>
    <t>Презерватив ONE Color Sensations - ONE is the corner pocket (Black) 1 шт</t>
  </si>
  <si>
    <t>SX0765</t>
  </si>
  <si>
    <t>Презерватив ONE Color Sensations - ONE adrenaline rush (Blue) 1 шт</t>
  </si>
  <si>
    <t>SX0770</t>
  </si>
  <si>
    <t>Презерватив ONE Color Sensations - ONE likes it hot (Red) 1 шт</t>
  </si>
  <si>
    <t>SX0775</t>
  </si>
  <si>
    <t>Презерватив ONE Extra Strong 1 шт</t>
  </si>
  <si>
    <t>SX0776</t>
  </si>
  <si>
    <t>Презерватив ONE Super Sensitive 1 шт</t>
  </si>
  <si>
    <t>SX0777</t>
  </si>
  <si>
    <t>Презерватив ONE Super Studs 1 шт</t>
  </si>
  <si>
    <t>SX0778</t>
  </si>
  <si>
    <t>Презерватив ONE Vanish Hyperthin 1 шт</t>
  </si>
  <si>
    <t>SX0779</t>
  </si>
  <si>
    <t>Презервативи ONE Super Sensitive 3 шт, картонна коробка</t>
  </si>
  <si>
    <t>SX0780</t>
  </si>
  <si>
    <t>Презервативи ONE Vanish Hyperthin 3 шт, картонна коробка</t>
  </si>
  <si>
    <t>SX0782</t>
  </si>
  <si>
    <t>Презервативи ONE Super Studs 3 шт, картонна коробка</t>
  </si>
  <si>
    <t>SX0783</t>
  </si>
  <si>
    <t>Презервативи ONE Flex Graphene Condom 3 шт, картонна коробка</t>
  </si>
  <si>
    <t>SX0784</t>
  </si>
  <si>
    <t>Презервативи ONE Glowing Pleasures 3 шт, картонна коробка</t>
  </si>
  <si>
    <t>SX0786</t>
  </si>
  <si>
    <t>Презервативи ONE Ultra Feel 10 шт, подарункова упаковка тюб</t>
  </si>
  <si>
    <t>SX0787</t>
  </si>
  <si>
    <t>Презервативи ONE Flex Graphene Condom 10 шт, подарункова упаковка тюб</t>
  </si>
  <si>
    <t>SX0788</t>
  </si>
  <si>
    <t>Презервативи ONE Mixed Pleasures 12 шт, подарункова упаковка тюб</t>
  </si>
  <si>
    <t>SX0789</t>
  </si>
  <si>
    <t>Презервативи ONE Super Sensitive 12 шт, подарункова упаковка тюб</t>
  </si>
  <si>
    <t>SX0790</t>
  </si>
  <si>
    <t>Презервативи ONE Tattoo Touch 12 шт, подарункова упаковка тюб</t>
  </si>
  <si>
    <t>SX0791</t>
  </si>
  <si>
    <t>Презервативи ONE Super Studs 12 шт, подарункова упаковка тюб</t>
  </si>
  <si>
    <t>SX0792</t>
  </si>
  <si>
    <t>Презервативи ONE Vanish Hyperthin 12 шт, подарункова упаковка тюб</t>
  </si>
  <si>
    <t>SX0795</t>
  </si>
  <si>
    <t>Презервативи ONE Legend Extra Large 12 шт, подарункова упаковка тюб</t>
  </si>
  <si>
    <t>SX0796</t>
  </si>
  <si>
    <t>Презервативи ONE Mixed Pleasures 24 шт, подарункова упаковка тюб</t>
  </si>
  <si>
    <t>SX1059</t>
  </si>
  <si>
    <t>Панчохи Leg Avenue Leg Avenue Lace thigh highs &amp; garterbelt Black One Size</t>
  </si>
  <si>
    <t>SX1066</t>
  </si>
  <si>
    <t>Панчохи Leg Avenue Thigh highs with garter top Black One Size</t>
  </si>
  <si>
    <t>SX1115</t>
  </si>
  <si>
    <t>Еротична гра на асоціації для пари «ТАЄМНІ БАЖАННЯ» (UA)</t>
  </si>
  <si>
    <t>SX1116</t>
  </si>
  <si>
    <t>Пролонгувальний спрей pjur Superhero Ultimate Spray 20 мл, найсильніший</t>
  </si>
  <si>
    <t>SX1117</t>
  </si>
  <si>
    <t>Лубрикант для секс-іграшок pjur Toy Glide 100 мл, найкращий для мастурбаторів</t>
  </si>
  <si>
    <t>SX1245</t>
  </si>
  <si>
    <t>Презерватив ONE Ultra Feel 1 шт</t>
  </si>
  <si>
    <t>SX1248</t>
  </si>
  <si>
    <t>Презервативи MyONE Large Sampler 3 шт, картонна коробка</t>
  </si>
  <si>
    <t>SX1253</t>
  </si>
  <si>
    <t>Презервативи MyONE Extra Wide &amp; Long 10 шт, картонна коробка</t>
  </si>
  <si>
    <t>SX1254</t>
  </si>
  <si>
    <t>Презервативи MyONE Super Wide 10 шт, картонна коробка</t>
  </si>
  <si>
    <t>SX1255</t>
  </si>
  <si>
    <t>Презервативи MyONE Super Wide &amp; Long 10 шт, картонна коробка</t>
  </si>
  <si>
    <t>SX1257</t>
  </si>
  <si>
    <t>Латексна серветка Satin Dams Strawberry 1 шт</t>
  </si>
  <si>
    <t>SX1261</t>
  </si>
  <si>
    <t>Латексна серветка Latex Dental Dams Vanilla 1 шт</t>
  </si>
  <si>
    <t>SX1262</t>
  </si>
  <si>
    <t>Латексна серветка Latex Dental Dams Mint 1 шт</t>
  </si>
  <si>
    <t>SX1263</t>
  </si>
  <si>
    <t>Латексна серветка Latex Dental Dams Grape 1 шт</t>
  </si>
  <si>
    <t>SX1265</t>
  </si>
  <si>
    <t>Латексна серветка Latex Dental Dams Banana 1 шт</t>
  </si>
  <si>
    <t>SX1266</t>
  </si>
  <si>
    <t>Латексна серветка Latex Dental Dams Strawberry 1 шт</t>
  </si>
  <si>
    <t>SX1270</t>
  </si>
  <si>
    <t>Пролонгатор Intt Dura Max Power (12 мл)</t>
  </si>
  <si>
    <t>SX1277</t>
  </si>
  <si>
    <t>Інтерактивний вібромасажер із підігрівом Svakom Emma Neo 2</t>
  </si>
  <si>
    <t>SX1294</t>
  </si>
  <si>
    <t>Презервативи LELO HEX Condoms Original 12 Pack, тонкі та суперміцні</t>
  </si>
  <si>
    <t>SX1295</t>
  </si>
  <si>
    <t>Презервативи LELO HEX Condoms Respect XL 12 Pack, тонкі та суперміцні, збільшений розмір</t>
  </si>
  <si>
    <t>SX1330</t>
  </si>
  <si>
    <t>Мастурбатор Tenga Flip Orb — Ocean Blue, з можливістю зміни тиску та стимулювальними кульками всеред</t>
  </si>
  <si>
    <t>SX1346</t>
  </si>
  <si>
    <t>Лубрикант на комбінованій основі  Swiss Navy Hybrid 59 мл</t>
  </si>
  <si>
    <t>SX1350</t>
  </si>
  <si>
    <t>Лубрикант на водній основі Swiss Navy 4 In 1 Water Melon 29,5 мл</t>
  </si>
  <si>
    <t>SX1351</t>
  </si>
  <si>
    <t>Лубрикант на водній основі Swiss Navy 4 In 1 Cotton Candy 29,5 мл</t>
  </si>
  <si>
    <t>SX1377</t>
  </si>
  <si>
    <t>Анальна пробка Dorcel ONIX PLUG S</t>
  </si>
  <si>
    <t>SX1395</t>
  </si>
  <si>
    <t>Мастурбатор-вагіна Kokos Sanda</t>
  </si>
  <si>
    <t>SX1422</t>
  </si>
  <si>
    <t>Мастурбатор-вагіна Kokos Clara Onahole</t>
  </si>
  <si>
    <t>SX1489</t>
  </si>
  <si>
    <t>Рідкий вібратор Orgie Dual Vibe! Strawberry Gin &amp; Tonic Kissable Liquid Vibrator, 15 мл</t>
  </si>
  <si>
    <t>SX1490</t>
  </si>
  <si>
    <t>Рідкий вібратор Orgie Dual Vibe! Lemon Gin And Tonic Kissable Liquid Vibrator, 15 мл</t>
  </si>
  <si>
    <t>SX1503</t>
  </si>
  <si>
    <t>Збуджувальний гель для пар Orgie Hemp! Intense Orgasm, 15 мл, тепло-холод, ефект сильної вібрації</t>
  </si>
  <si>
    <t>SX1530</t>
  </si>
  <si>
    <t>Збуджувальні краплі для клітора Orgie Orgasm Drops Intense, 30 мл, тепло-холод, смак яблука</t>
  </si>
  <si>
    <t>SX1531</t>
  </si>
  <si>
    <t>Збуджувальні краплі для клітора Orgie Orgasm Drops Kissable, 30 мл, тепло-холод, смак яблука</t>
  </si>
  <si>
    <t>SX1549</t>
  </si>
  <si>
    <t>Рідкий вібратор Orgie Sexy Vibe! Liquid Vibrator, 15 мл, з ефектом мурашок</t>
  </si>
  <si>
    <t>SX1551</t>
  </si>
  <si>
    <t>Рідкий вібратор Orgie Sexy Vibe! Hot, 15 мл, зігрівальний, дуже потужний, зі смаком полуниці</t>
  </si>
  <si>
    <t>SX1561</t>
  </si>
  <si>
    <t>Крем для посилення ерекції Orgie Touro XXXL Power Cream, 15 мл, з ефектом вібрації</t>
  </si>
  <si>
    <t>SX1566</t>
  </si>
  <si>
    <t>Сироватка-пролонгатор Orgie Xtra Time Delay Serum, 15 мл, без анестетиків, на силіконовій основі</t>
  </si>
  <si>
    <t>SX1668</t>
  </si>
  <si>
    <t>Нашийник з повідцем Liebe Seele Boudoir Amor Collar with Leash Black</t>
  </si>
  <si>
    <t>SX1704</t>
  </si>
  <si>
    <t>Мастурбатор Wooomy Saucy Abstract Masturbator, наскрізний, двосторонній</t>
  </si>
  <si>
    <t>SX1705</t>
  </si>
  <si>
    <t>Мастурбатор Wooomy Sasssy Abstract Masturbator, наскрізний, двосторонній</t>
  </si>
  <si>
    <t>SX1754</t>
  </si>
  <si>
    <t>Боді Leg Avenue Rhinestone Lace Deep-V Bodysuit One Size, Black</t>
  </si>
  <si>
    <t>SX1755</t>
  </si>
  <si>
    <t>Боді Leg Avenue Lace Floral Lace Halter Teddy with Flutter Accent One Size, Black</t>
  </si>
  <si>
    <t>SX1816</t>
  </si>
  <si>
    <t>Бодістокінг JSY WW7036 Black One Size</t>
  </si>
  <si>
    <t>SX1882</t>
  </si>
  <si>
    <t>Пробник парфумів з феромонами Obsessive Perfume Floral - Fruity sample (1 мл)</t>
  </si>
  <si>
    <t>SX1884</t>
  </si>
  <si>
    <t>Пробник парфумів з феромонами Obsessive Perfume Floral - Spicy sample (1 мл)</t>
  </si>
  <si>
    <t>SX2156</t>
  </si>
  <si>
    <t>Надувна лялька Candy Dolls Lolita</t>
  </si>
  <si>
    <t>SX2182</t>
  </si>
  <si>
    <t>Набір Satisfyer Playful Four</t>
  </si>
  <si>
    <t>SX2189</t>
  </si>
  <si>
    <t>Пробник лубриканта Bijoux Indiscrets - Sex au Naturel 2 мл</t>
  </si>
  <si>
    <t>SX2248</t>
  </si>
  <si>
    <t>Брелок на карабіні для ключів Art of Heart Angel, Чорний</t>
  </si>
  <si>
    <t>SX2371</t>
  </si>
  <si>
    <t>Романтична гра «Кохаю тебе» (UA)</t>
  </si>
  <si>
    <t>SX2379</t>
  </si>
  <si>
    <t>Презервативи SKYN Ekstra Nawilżane 3 шт</t>
  </si>
  <si>
    <t>SX2380</t>
  </si>
  <si>
    <t>Презервативи SKYN Original 3 шт</t>
  </si>
  <si>
    <t>SX2381</t>
  </si>
  <si>
    <t>Презервативи SKYN Elite 3 шт</t>
  </si>
  <si>
    <t>SX2382</t>
  </si>
  <si>
    <t>Презервативи SKYN Large 3 шт</t>
  </si>
  <si>
    <t>SX2389</t>
  </si>
  <si>
    <t>Набір презервативів SKYN Unknown Pleasures 42 шт</t>
  </si>
  <si>
    <t>SX2390</t>
  </si>
  <si>
    <t>Набір презервативів SKYN 5 Senses 5 шт</t>
  </si>
  <si>
    <t>SX2391</t>
  </si>
  <si>
    <t>Презервативи SKYN Original 40 шт</t>
  </si>
  <si>
    <t>SX2392</t>
  </si>
  <si>
    <t>Набір презервативів SKYN Selection 35 шт</t>
  </si>
  <si>
    <t>SX2393</t>
  </si>
  <si>
    <t>Презервативи SKYN Elite 24 шт</t>
  </si>
  <si>
    <t>SX2394</t>
  </si>
  <si>
    <t>Презервативи SKYN Extra Lubricated 24 шт</t>
  </si>
  <si>
    <t>SX2397</t>
  </si>
  <si>
    <t>Презервативи SKYN Supreme Feel 3 шт</t>
  </si>
  <si>
    <t>SX2398</t>
  </si>
  <si>
    <t>Презервативи SKYN Supreme Feel 10 шт</t>
  </si>
  <si>
    <t>SX2402</t>
  </si>
  <si>
    <t>Лубрикант на водній основі SKYN Naturally Endless 80 мл</t>
  </si>
  <si>
    <t>SX2408</t>
  </si>
  <si>
    <t>Презервативи SKYN Original 20 шт</t>
  </si>
  <si>
    <t>SX2447</t>
  </si>
  <si>
    <t>Смарт-масажер простати з пульсацією на кінчику головки Svakom Iker Neo</t>
  </si>
  <si>
    <t>SX2449</t>
  </si>
  <si>
    <t>Кліторальний вібратор Svakom Echo 2 Pink Lilac</t>
  </si>
  <si>
    <t>SX2512</t>
  </si>
  <si>
    <t>Настільна гра з Тік Току «Норм чи стрім. Крінж чи База» (UA)</t>
  </si>
  <si>
    <t>SX2544</t>
  </si>
  <si>
    <t>Презервативи SKYN Cocktail Club 3 шт, смаки Pina Colada, Cherry Sunrise та Passion Daiquiri</t>
  </si>
  <si>
    <t>SX2546</t>
  </si>
  <si>
    <t>Презервативи SKYN Intense Feel 3 шт</t>
  </si>
  <si>
    <t>SX2549</t>
  </si>
  <si>
    <t>Гель для гоління Skyn Intimicare Shaving Gel 150 мл</t>
  </si>
  <si>
    <t>SX2595</t>
  </si>
  <si>
    <t>Засіб для чищення JO Fresh Scent Misting Toy Cleaner (60 мл) з ароматом свіжості</t>
  </si>
  <si>
    <t>SX2643</t>
  </si>
  <si>
    <t>Бодістокінг JSY WW7127 One Size</t>
  </si>
  <si>
    <t>SX2647</t>
  </si>
  <si>
    <t>Бодістокінг JSY WW7203 Black One Size</t>
  </si>
  <si>
    <t>SX2659</t>
  </si>
  <si>
    <t>Лубрикант Intt Slide Berry Slide! (100 мл) на водній основі, зі смаком ожини</t>
  </si>
  <si>
    <t>SX2662</t>
  </si>
  <si>
    <t>Вібролубрикант Intt Slide and Vibe (35 мл) на водній основі, стимулювальний, зі смаком ожини</t>
  </si>
  <si>
    <t>SX2663</t>
  </si>
  <si>
    <t>Міні смарт-віброяйце Lovense Lush Mini, зменшена версія Lovense Lush 4</t>
  </si>
  <si>
    <t>SX2766</t>
  </si>
  <si>
    <t>Колготки Leg Avenue Garter Illusion Tights with Net Detail One Size Black</t>
  </si>
  <si>
    <t>SX2771</t>
  </si>
  <si>
    <t>Бодістокінг Leg Avenue Fishnet Garter Harness and Teddy One Size Black</t>
  </si>
  <si>
    <t>SX2777</t>
  </si>
  <si>
    <t>Бодістокінг Leg Avenue Crotchless Footless Lingerie Bodystocking One Size Neon Green</t>
  </si>
  <si>
    <t>SX2842</t>
  </si>
  <si>
    <t>Презерватив LELO HEX Condoms Original Sachet</t>
  </si>
  <si>
    <t>SX2861</t>
  </si>
  <si>
    <t>Вібратор-єдиноріжка Unihorn USB Bullet - Cupid's Beau, віброкуля, USB-зарядка</t>
  </si>
  <si>
    <t>SX3016</t>
  </si>
  <si>
    <t>Масажна олія Goliate Huile De Massage Aphrodisiaque 100 мл, органічна, зігрівальний ефект</t>
  </si>
  <si>
    <t>SX3024</t>
  </si>
  <si>
    <t>Ароматне мило пікантної форми Pure Bliss Red Juicy Crush (Ягідний вибух) 15 см</t>
  </si>
  <si>
    <t>SX3043</t>
  </si>
  <si>
    <t>Презервативи LELO HEX Condoms Organic 12 Pack, тонкі та суперміцні</t>
  </si>
  <si>
    <t>SX3044</t>
  </si>
  <si>
    <t>Презервативи LELO HEX Condoms Organic 3 Pack, тонкі та суперміцні</t>
  </si>
  <si>
    <t>SX3047</t>
  </si>
  <si>
    <t>Гральні карти Tease &amp; Please - Kama Sutra Playing Cards</t>
  </si>
  <si>
    <t>SX3122</t>
  </si>
  <si>
    <t>Рідкий вібратор для чоловіків pjur MAN Lust, 15 мл, з ефектом мурашок</t>
  </si>
  <si>
    <t>SX3225</t>
  </si>
  <si>
    <t>Смарт-вібратор 5в1 Svakom DuoGlow, пульсівний вібратор з намистинами та пульсівний стимулятор</t>
  </si>
  <si>
    <t>SX3226</t>
  </si>
  <si>
    <t>Смарт-вібратор для точки G Svakom Margot, 2 мотори, підігрів</t>
  </si>
  <si>
    <t>SX3281</t>
  </si>
  <si>
    <t>Вібратор Fun Factory Charme Wine Red, 12 режимів вібрації, перезаряджуваний</t>
  </si>
  <si>
    <t>SX3284</t>
  </si>
  <si>
    <t>Вібратор Fun Factory Bijou Aquamarine, 12 режимів вібрації, перезаряджуваний</t>
  </si>
  <si>
    <t>SX3288</t>
  </si>
  <si>
    <t>Фалоімітатор Fun Factory LIMBA FLEX M Black, гнучкий, з ефектом пам’яті, підходить для точки G</t>
  </si>
  <si>
    <t>SX3300</t>
  </si>
  <si>
    <t>Вібратор Fun Factory Bijou Magenta, 12 режимів вібрації, перезаряджуваний</t>
  </si>
  <si>
    <t>SX3305</t>
  </si>
  <si>
    <t>Вакуумний стимулятор Fun Factory Delicia Rose, 11 режимів роботи, перезаряджуваний</t>
  </si>
  <si>
    <t>SX3412</t>
  </si>
  <si>
    <t>Шортики на шнурівці Art of Sex - Kylie, чорні з ефектом мокрого оксамиту, розмір XS-M</t>
  </si>
  <si>
    <t>SX3465</t>
  </si>
  <si>
    <t>Спрей для мінету Doc Johnson GoodHead DeepThroat Spray - Mango 59 мл для глибокого мінету</t>
  </si>
  <si>
    <t>SX3664</t>
  </si>
  <si>
    <t>Анальна пробка Fun Factory BOOTIE S Black, діаметр 2,8 см, тонкий обмежувач</t>
  </si>
  <si>
    <t>SX3680</t>
  </si>
  <si>
    <t>Набір менструальних чаш Fun Factory FUN CUP EXPLORE KIT, 2 шт, Multicolored Violet, об’єми 20 та 30</t>
  </si>
  <si>
    <t>SX3702</t>
  </si>
  <si>
    <t>Ерекційне віброкільце з подвійною стимуляцією клітора Fun Factory NŌS PRO Bottle Green, 2 мотори</t>
  </si>
  <si>
    <t>SX3707</t>
  </si>
  <si>
    <t>Вібратор Fun Factory Viola Black</t>
  </si>
  <si>
    <t>SX3714</t>
  </si>
  <si>
    <t>Анальна пробка Fun Factory Bootie Vibe Black</t>
  </si>
  <si>
    <t>SX3757</t>
  </si>
  <si>
    <t>Бодістокінг JSY WW7179 One Size</t>
  </si>
  <si>
    <t>SX3788</t>
  </si>
  <si>
    <t>Сексуальні відкриті трусики Art of Sex - Isabell, колір чорний, розмір XS-M</t>
  </si>
  <si>
    <t>SX3825</t>
  </si>
  <si>
    <t>Бодістокінг-сукня JSY WW7096 Black One Size</t>
  </si>
  <si>
    <t>SX3958</t>
  </si>
  <si>
    <t>Мастурбатор-вагіна Alive Red Doll у вигляді банки енергетика</t>
  </si>
  <si>
    <t>SX3999</t>
  </si>
  <si>
    <t>Мастурбатор Loviss Leer Double Sides Masturbation, 12 режимів вібрації, вагіна + анус</t>
  </si>
  <si>
    <t>SX4002</t>
  </si>
  <si>
    <t>Смоктайзер для клітора Intt Suck My Clit Wild Strawberry (15 мл), полуниця, гель з ефектом посмоктув</t>
  </si>
  <si>
    <t>SX4003</t>
  </si>
  <si>
    <t>Смоктайзер для клітора Intt Suck My Clit Tropical Mango (15 мл), манго, гель з ефектом посмоктування</t>
  </si>
  <si>
    <t>SX4316</t>
  </si>
  <si>
    <t>Вакуумний вібратор-кролик Satisfyer Pro+ G-Spot Generation 2 Pink</t>
  </si>
  <si>
    <t>SX4342</t>
  </si>
  <si>
    <t>Анальна пробка з вібрацією NS Novelties INYA - Swirl - Pink</t>
  </si>
  <si>
    <t>SX4360</t>
  </si>
  <si>
    <t>Анальна пробка NS Novelties Rear Assets - Multicolor - Medium - Clear</t>
  </si>
  <si>
    <t>SX4365</t>
  </si>
  <si>
    <t>Анальна пробка NS Novelties Rear Assets - Multicolor Heart - Small - Pink</t>
  </si>
  <si>
    <t>SX4371</t>
  </si>
  <si>
    <t>Анальна пробка NS Novelties Rear Assets - Small - Pink</t>
  </si>
  <si>
    <t>SX4390</t>
  </si>
  <si>
    <t>Анальна пробка NS Novelties Rear Assets - Silver - Small - Pink Gem</t>
  </si>
  <si>
    <t>SX4598</t>
  </si>
  <si>
    <t>Лубрикант на водній основі JO Bake Shoppe - Frosted Cupcake 60 мл, без цукру та парабенів</t>
  </si>
  <si>
    <t>SO1277</t>
  </si>
  <si>
    <t>Насадка на член Kokos Extreme Sleeve 005 размер M</t>
  </si>
  <si>
    <t>SO1446</t>
  </si>
  <si>
    <t>Змазка на водній основі System JO H2O ORIGINAL (30 мл) оліїста і гладенька, рослинний гліцерин</t>
  </si>
  <si>
    <t>SO1447</t>
  </si>
  <si>
    <t>Змазка на водній основі System JO H2O ORIGINAL (60 мл) оліїста і гладенька, рослинний гліцерин</t>
  </si>
  <si>
    <t>SO1448</t>
  </si>
  <si>
    <t>Змазка на водній основі System JO H2O ORIGINAL (120 мл) оліїста і гладенька, рослинний гліцерин</t>
  </si>
  <si>
    <t>SO1449</t>
  </si>
  <si>
    <t>Зігрівальна змазка на водній основі System JO H2O WARMING (30 мл) з екстрактом перцевої м’яти</t>
  </si>
  <si>
    <t>SO1450</t>
  </si>
  <si>
    <t>Охолоджувальна змазка на водній основі System JO H2O COOLING (30 мл) з ментолом, рослинний гліцерин</t>
  </si>
  <si>
    <t>SO1465</t>
  </si>
  <si>
    <t>Змазка на водній основі System JO GELATO Salted Caramel (30 мл) без цукру, парабенів та пропіленглік</t>
  </si>
  <si>
    <t>SO1467</t>
  </si>
  <si>
    <t>Змазка на водній основі System JO H2O — Cherry Burst (30 мл) без цукру, рослинний гліцерин</t>
  </si>
  <si>
    <t>SO1468</t>
  </si>
  <si>
    <t>Змазка на водній основі System JO H2O — Raspberry Sorbet (30 мл) без цукру, рослинний гліцерин</t>
  </si>
  <si>
    <t>SO1469</t>
  </si>
  <si>
    <t>Змазка на водній основі System JO H2O — Strawberry Kiss (30 мл) без цукру, рослинний гліцерин</t>
  </si>
  <si>
    <t>SO1470</t>
  </si>
  <si>
    <t>Змазка на водній основі System JO H2O — Watermelon (30 мл) без цукру, рослинний гліцерин</t>
  </si>
  <si>
    <t>SO1472</t>
  </si>
  <si>
    <t>Змазка на водній основі System JO H2O — Tropical Passion (30 мл) без цукру, рослинний гліцерин</t>
  </si>
  <si>
    <t>SO1473</t>
  </si>
  <si>
    <t>Змазка на водній основі System JO H2O — Juicy Pineapple (30 мл) без цукру, рослинний гліцерин</t>
  </si>
  <si>
    <t>SO1476</t>
  </si>
  <si>
    <t>Змазка на водній основі System JO H2O — Peachy Lips (30 мл) без цукру, рослинний гліцерин</t>
  </si>
  <si>
    <t>SO1480</t>
  </si>
  <si>
    <t>Змазка на водній основі System JO H2O — Vanilla Cream (30 мл) без цукру, рослинний гліцерин</t>
  </si>
  <si>
    <t>SO1481</t>
  </si>
  <si>
    <t>Змазка на водній основі System JO H2O — Green Apple (30 мл) без цукру, рослинний гліцерин</t>
  </si>
  <si>
    <t>SO1483</t>
  </si>
  <si>
    <t>Густа змазка водно-силіконова System JO Classic Hybrid (60 мл) без парабенів, гліцерину та олій</t>
  </si>
  <si>
    <t>SO1484</t>
  </si>
  <si>
    <t>Крем-змазка з кокосовою олією System JO Coconut Hybrid ORIGINAL (30 мл) біла</t>
  </si>
  <si>
    <t>SO1492</t>
  </si>
  <si>
    <t>Змазка на водній основі System JO AGAPE — ORIGINAL (30 мл) без гліцерину, гліколю та парабенів</t>
  </si>
  <si>
    <t>SO1680</t>
  </si>
  <si>
    <t>Охолоджувальна змазка на водній основі System JO H2O COOLING (60 мл) з ментолом, рослинний гліцерин</t>
  </si>
  <si>
    <t>SO1685</t>
  </si>
  <si>
    <t>Змазка на водній основі System JO AGAPE — ORIGINAL (60 мл) без гліцерину, гліколю та парабенів</t>
  </si>
  <si>
    <t>SO1686</t>
  </si>
  <si>
    <t>Змазка на водній основі System JO AGAPE — ORIGINAL (120 мл) без гліцерину, гліколю та парабенів</t>
  </si>
  <si>
    <t>SO1773</t>
  </si>
  <si>
    <t>М’яка пінка для очищення іграшок System JO REFRESH (207 мл) дезінфікує, проникає глибоко</t>
  </si>
  <si>
    <t>SO1793</t>
  </si>
  <si>
    <t>Охолоджувальний лубрикант на силіконовій основі System JO PREMIUM — COOLING (60 мл)</t>
  </si>
  <si>
    <t>SO1829</t>
  </si>
  <si>
    <t>Вакуумный вибратор-кролик Satisfyer Pro Plus G-Spot Rabbit, первый кролик с вакуумом и вибрацией</t>
  </si>
  <si>
    <t>SO1897</t>
  </si>
  <si>
    <t>Лубрикант на водній основі Lubrix (50 мл) без парабенів</t>
  </si>
  <si>
    <t>SO2093</t>
  </si>
  <si>
    <t>Лубрикант на силіконовій основі System JO PREMIUM — ORIGINAL (60 мл) без консервантів</t>
  </si>
  <si>
    <t>SO2394</t>
  </si>
  <si>
    <t>Фалоімітатор SilexD Robby Flesh (MODEL 2 size 6in), двошаровий, силікон + Silexpan, діаметр 3,5см</t>
  </si>
  <si>
    <t>SO2447</t>
  </si>
  <si>
    <t>Засіб для чищення System JO Fresh Scent Misting Toy Cleaner (120 мл) з ароматом свіжості</t>
  </si>
  <si>
    <t>SO2513</t>
  </si>
  <si>
    <t>Масажна свічка Shunga Massage Candle – Sparkling Strawberry Wine (170 мл) з афродизіаками</t>
  </si>
  <si>
    <t>SO2618</t>
  </si>
  <si>
    <t>Лубрикант на водній основі System JO H2O — Candy Shop — Cotton Candy (60 мл) без цукру та парабенів</t>
  </si>
  <si>
    <t>SO2619</t>
  </si>
  <si>
    <t>Лубрикант на водній основі System JO H2O — Candy Shop — Bubblegum (60 мл) без цукру та парабенів</t>
  </si>
  <si>
    <t>SO2697</t>
  </si>
  <si>
    <t>Лубрикант, що імітує сперму Creamy Cum (250 мл) на гібридній основі з олією звіробою</t>
  </si>
  <si>
    <t>SO2799</t>
  </si>
  <si>
    <t>Спрей для мінету Doc Johnson GoodHead DeepThroat Spray - Mystical Mint 59 мл для глибокого мінета</t>
  </si>
  <si>
    <t>SO2800</t>
  </si>
  <si>
    <t>Спрей для мінету Doc Johnson GoodHead DeepThroat Spray - Wild Cherry 59 мл для глибокого мінету</t>
  </si>
  <si>
    <t>SO2801</t>
  </si>
  <si>
    <t>Спрей для мінету Doc Johnson GoodHead DeepThroat Spray - Sweet Strawberry 59 мл для глибокого мінету</t>
  </si>
  <si>
    <t>SO2919</t>
  </si>
  <si>
    <t>Рідкий вібратор Intt Vibration Vodka (15 мл), густий гель, дуже смачний, діє до 30 хвилин</t>
  </si>
  <si>
    <t>SO2920</t>
  </si>
  <si>
    <t>Рідкий вібратор Intt Vibration Ice (15 мл), густий гель, дуже незвичайний, діє до 30 хвилин</t>
  </si>
  <si>
    <t>SO2921</t>
  </si>
  <si>
    <t>Рідкий вібратор Intt Vibration Strawberry (15 мл), густий гель, дуже смачний, діє до 30 хвилин</t>
  </si>
  <si>
    <t>SO2932</t>
  </si>
  <si>
    <t>Гель для звуження піхви Intt Like a Virgin (15 мл), без запаху, з екстрактом гамамелісу</t>
  </si>
  <si>
    <t>SO2939</t>
  </si>
  <si>
    <t>Преміум масажна піна Intt Crunchy Foam - Vanilla (150 мл) екстразволожувальна</t>
  </si>
  <si>
    <t>SO3012</t>
  </si>
  <si>
    <t>Недорога віброкуля Rocks Off 1-Speed Chrome одношвидкісна</t>
  </si>
  <si>
    <t>SO3106</t>
  </si>
  <si>
    <t>Потужний мінівібратор Satisfyer Sparkling Darling Gold зі знімним ковпачком, 15 режимів роботи</t>
  </si>
  <si>
    <t>SO3171</t>
  </si>
  <si>
    <t>Масажна свічка Petits Joujoux - Paris - Vanilla and Sandalwood (43 мл) з афродизіаками</t>
  </si>
  <si>
    <t>SO3188</t>
  </si>
  <si>
    <t>Пробник стимулюючого гелю Sensuva - ON Power Glide For Him (3 мл) для супер ерекції</t>
  </si>
  <si>
    <t>SO3193</t>
  </si>
  <si>
    <t>Спрей для мінету Sensuva Deeply Love You Chocolate Mint (29 мл), для глибокого мінету</t>
  </si>
  <si>
    <t>SO3194</t>
  </si>
  <si>
    <t>Спрей для мінету Sensuva - Deeply Love You Cinnamon (29 мл) для глибокого мінету</t>
  </si>
  <si>
    <t>SO3196</t>
  </si>
  <si>
    <t>Спрей для мінету Sensuva Deeply Love You Chocolate Coconut (29 мл), для глубокого мінету</t>
  </si>
  <si>
    <t>SO3197</t>
  </si>
  <si>
    <t>Спрей для мінету Sensuva Deeply Love You Salted Caramel (29 мл), для глибокого мінету</t>
  </si>
  <si>
    <t>SO3218</t>
  </si>
  <si>
    <t>Лубрикант на водній основі Sensuva Natural Water-Based (57 мл), без гліцерину та парабенів</t>
  </si>
  <si>
    <t>SO3219</t>
  </si>
  <si>
    <t>Змазка на водній основі Sensuva Natural Water-Based Apple Candy (57мл) без гліцерину та парабенів</t>
  </si>
  <si>
    <t>SO3221</t>
  </si>
  <si>
    <t>Змазка на водній основі Sensuva Natural Water-Based Strawberry (57 мл) без гліцерину та парабенів</t>
  </si>
  <si>
    <t>SO3229</t>
  </si>
  <si>
    <t>Густа змазка Sensuva Ultra-Thick Water-Based (57 мл) на водній основі, без гліцерину та парабенів</t>
  </si>
  <si>
    <t>SO3243</t>
  </si>
  <si>
    <t>Змазка водно-силіконова Sensuva Hybrid Orange Creamsicle (57мл) без цукру, можна для оральних пестощ</t>
  </si>
  <si>
    <t>SO3245</t>
  </si>
  <si>
    <t>Змазка водно-силіконова Sensuva Hybrid Strawberry (125 мл) без цукру, можна для оральних пестощів</t>
  </si>
  <si>
    <t>SO3246</t>
  </si>
  <si>
    <t>Змазка водно-силіконова Sensuva Hybrid Cotton Candy (125 мл) без цукру, можна для оральних пестощів</t>
  </si>
  <si>
    <t>SO3270</t>
  </si>
  <si>
    <t>Збуджувальна змазка на гібридній основі Sensuva Ultra-Stimulating On Insane (57 мл)</t>
  </si>
  <si>
    <t>SO3271</t>
  </si>
  <si>
    <t>Збуджувальна змазка на гібридній основі Sensuva  Ultra-Stimulating On Insane Caramel Apple (57 мл)</t>
  </si>
  <si>
    <t>SO3272</t>
  </si>
  <si>
    <t>Збуджувальна змазка на гібридній основі Sensuva Ultra-Stimulating On Insane Cherry Pop (57 мл)</t>
  </si>
  <si>
    <t>SO3280</t>
  </si>
  <si>
    <t>Збуджувальна змазка на гібридній основі Sensuva Ultra-Stimulating ON Insane Ice (57 мл)</t>
  </si>
  <si>
    <t>SO3331</t>
  </si>
  <si>
    <t>Cтимулятор ендорфінів для тіла EXSENS Angels Dream 15 мл, щоб світитися від щастя</t>
  </si>
  <si>
    <t>SO3347</t>
  </si>
  <si>
    <t>Рідкий вібратор Intt Vibration Ganjah (15 мл), густий гель, незвичайний смак, діє до 30 хвилин</t>
  </si>
  <si>
    <t>SO3389</t>
  </si>
  <si>
    <t>Пробник Sensuva - Ultra-Stimulating On Insane Cherry Pop (6 мл)</t>
  </si>
  <si>
    <t>SO3393</t>
  </si>
  <si>
    <t>Пробник Sensuva - Natural Water-Based Apple Candy (6 мл)</t>
  </si>
  <si>
    <t>SO3400</t>
  </si>
  <si>
    <t>Пробник Sensuva - Hybrid Formula Blueberry Muffin (6 мл)</t>
  </si>
  <si>
    <t>SO3505</t>
  </si>
  <si>
    <t>Змазка на водній основі System JO GELATO White Chocolate Raspberry (30 мл) без цукру та парабенів</t>
  </si>
  <si>
    <t>SO3549</t>
  </si>
  <si>
    <t>Пробник стимулирующей смазки Sensuva - Ultra-Stimulating On Insane (6 мл)</t>
  </si>
  <si>
    <t>SO3550</t>
  </si>
  <si>
    <t>Пробник Sensuva - Ultra-Stimulating On Insane ICE (6 мл)</t>
  </si>
  <si>
    <t>SO3551</t>
  </si>
  <si>
    <t>Мороженка спиннатор Satisfyer Lay-On - Sweet Treat Black/Gold</t>
  </si>
  <si>
    <t>SO3576</t>
  </si>
  <si>
    <t>Набір менструальних чаш Satisfyer Feel Confident (dark blue), 15мл та 20мл, мішечок для зберігання</t>
  </si>
  <si>
    <t>SO3578</t>
  </si>
  <si>
    <t>Набор менструальных чаш Satisfyer Feel Confident (light blue), 15мл и 20мл, мешочек для хранения</t>
  </si>
  <si>
    <t>SO3580</t>
  </si>
  <si>
    <t>Набір менструальних чаш Satisfyer Feel Confident (lila), 15мл та 20мл, мішечок для зберігання</t>
  </si>
  <si>
    <t>SO3582</t>
  </si>
  <si>
    <t>Набір менструальних чаш Satisfyer Feel Good (dark blue), 15мл та 20мл, мішечок для зберігання</t>
  </si>
  <si>
    <t>SO3735</t>
  </si>
  <si>
    <t>Набір BDSM-аксесуарів Fetish Tentation Submission Kit</t>
  </si>
  <si>
    <t>SO3795</t>
  </si>
  <si>
    <t>Тонкі затискачі для сосків з підвіскою Feral Feelings - Thin nipple clamps, золото/чорний</t>
  </si>
  <si>
    <t>SO3811</t>
  </si>
  <si>
    <t>Еротична гра Правда або Дія (Дівич-вечір) (UA)</t>
  </si>
  <si>
    <t>SO3817</t>
  </si>
  <si>
    <t>Смарт-тренажер Кегеля для жінок Magic Motion Kegel Coach</t>
  </si>
  <si>
    <t>SO3836</t>
  </si>
  <si>
    <t>Фалоімітатор з вібрацією SilexD Vetus Vibro Flesh (MODEL 1 size 8in), двошаровий, діаметр 4,2см</t>
  </si>
  <si>
    <t>SO3902</t>
  </si>
  <si>
    <t>Смарт вібратор-кролик Satisfyer Mono Flex Mauve, 2 мотори, керування через інтернет</t>
  </si>
  <si>
    <t>SO4079</t>
  </si>
  <si>
    <t>Потужний пролонгатор Doc Johnson Power+with Yohimbe Delay Spray For Men (59 мл)</t>
  </si>
  <si>
    <t>SO4090</t>
  </si>
  <si>
    <t>Смарт вібратор-кролик Lovense Nora з обертовим стволом</t>
  </si>
  <si>
    <t>SO4098</t>
  </si>
  <si>
    <t>Пролонгувальний спрей System JO Prolonger Spray with Lidocaine (60 мл), не містить мінеральних масел</t>
  </si>
  <si>
    <t>SO4138</t>
  </si>
  <si>
    <t>Рідкий вібратор Intt Vibration Gin Tonic (15 мл)</t>
  </si>
  <si>
    <t>SO4298</t>
  </si>
  <si>
    <t>Мастурбатор Tenga Spinner 04 Pixel з пружною стимулювальною спіраллю всередині</t>
  </si>
  <si>
    <t>SO4487</t>
  </si>
  <si>
    <t>Лубрикант на силіконовій основі System JO Xtra Silky Silicone (30 мл)</t>
  </si>
  <si>
    <t>SO4548</t>
  </si>
  <si>
    <t>Мастурбатор Tenga Dual Sensation Cup двосторонній, із двома незалежними каналами</t>
  </si>
  <si>
    <t>SO4562</t>
  </si>
  <si>
    <t>Смарт-віброяйце Lovense Lush 3</t>
  </si>
  <si>
    <t>SO4808</t>
  </si>
  <si>
    <t>Масажна олія Shunga Sensation – Lavender (240 мл) натуральна зволожувальна</t>
  </si>
  <si>
    <t>SO4833</t>
  </si>
  <si>
    <t>Ерекційне кільце з вібрацією Svakom Tyler Black</t>
  </si>
  <si>
    <t>SO4837</t>
  </si>
  <si>
    <t>Анальна пробка з вібрацією та підігрівом, пульт ДК Svakom Primo Black</t>
  </si>
  <si>
    <t>SO4848</t>
  </si>
  <si>
    <t>Інтелектуальний вібратор-кролик із підігрівом Svakom Angel Plum Red</t>
  </si>
  <si>
    <t>SO4853</t>
  </si>
  <si>
    <t>Подвійне ерекційне кільце з вібрацією Svakom Tammy Violet</t>
  </si>
  <si>
    <t>SO4899</t>
  </si>
  <si>
    <t>Еротична гра LOOPY sex game (UA)</t>
  </si>
  <si>
    <t>SO4927</t>
  </si>
  <si>
    <t>Анальний стимулятор-намистини з двома моторами Satisfyer Lolli-Plug 2 ice blue</t>
  </si>
  <si>
    <t>SO4942</t>
  </si>
  <si>
    <t>Змазка на водній основі Sensuva Natural Water-Based Blueberry Muffin 57мл без гліцерину та парабенів</t>
  </si>
  <si>
    <t>SO4944</t>
  </si>
  <si>
    <t>Змазка на водній основі Sensuva Natural Water-Based Cotton Candy (57мл) без гліцерину та парабенів</t>
  </si>
  <si>
    <t>SO4946</t>
  </si>
  <si>
    <t>Змазка на водній основі Sensuva Natural Water-Based Exotic Coconut (57мл) без гліцерину та парабенів</t>
  </si>
  <si>
    <t>SO5055</t>
  </si>
  <si>
    <t>Подвійний смарт-вібратор Lovense Dolce (Quake)</t>
  </si>
  <si>
    <t>SO5059</t>
  </si>
  <si>
    <t>Смарт-вібратор для пар Satisfyer Double Fun (Violet) з пультом ДК</t>
  </si>
  <si>
    <t>SO5070</t>
  </si>
  <si>
    <t>Ерекційне кільце подвійне Dorcel DUAL RING</t>
  </si>
  <si>
    <t>SO5099</t>
  </si>
  <si>
    <t>Мастурбатор яйце Svakom Hedy X- Mixed Textures</t>
  </si>
  <si>
    <t>SO5217</t>
  </si>
  <si>
    <t>Флогер маленький / мартинет, 30 хвостів по 35 см, колір червоний</t>
  </si>
  <si>
    <t>SO5502</t>
  </si>
  <si>
    <t>Сексуальні трусики з ланцюжком Bad Bitch червоні розмір XS-M</t>
  </si>
  <si>
    <t>SO5543</t>
  </si>
  <si>
    <t>Смарт вібратор-кролик із підігрівом Satisfyer Hot Lover Nude</t>
  </si>
  <si>
    <t>SO5659</t>
  </si>
  <si>
    <t>Лубрикант на силіконовій основі Swiss Navy Silicone 59 мл</t>
  </si>
  <si>
    <t>SO5666</t>
  </si>
  <si>
    <t>Густий лубрикант на водній основі Swiss Navy Water-Based 29,5 мл</t>
  </si>
  <si>
    <t>SO5667</t>
  </si>
  <si>
    <t>Густий лубрикант на водній основі Swiss Navy Water-Based 59 мл</t>
  </si>
  <si>
    <t>SO5668</t>
  </si>
  <si>
    <t>Густий лубрикант на водній основі Swiss Navy Water-Based 118 мл</t>
  </si>
  <si>
    <t>SO5669</t>
  </si>
  <si>
    <t>Густий лубрикант на водній основі Swiss Navy Water-Based 237 мл</t>
  </si>
  <si>
    <t>SO5693</t>
  </si>
  <si>
    <t>Збуджувальний лубрикант на водно-силіконовій основі Swiss Navy Sensual Arousal Gel 29,5 мл</t>
  </si>
  <si>
    <t>SO5694</t>
  </si>
  <si>
    <t>Збуджувальний лубрикант на водно-силіконовій основі Swiss Navy Sensual Arousal Gel 59 мл</t>
  </si>
  <si>
    <t>SO5720</t>
  </si>
  <si>
    <t>Лубрикант на водній основі Swiss Navy 4 in 1 Straw-Kiwi Pleasures 29,5мл</t>
  </si>
  <si>
    <t>SO5727</t>
  </si>
  <si>
    <t>Пінка для чищення Swiss Navy Toy &amp; Body Cleaner 47 мл</t>
  </si>
  <si>
    <t>SO5730</t>
  </si>
  <si>
    <t>Засіб для чищення Swiss Navy Toy &amp; Body Cleaner 29,5 мл</t>
  </si>
  <si>
    <t>SO5865</t>
  </si>
  <si>
    <t>Затискач для сосків Art of Sex - Nipple clamps Black Bow</t>
  </si>
  <si>
    <t>SO5880</t>
  </si>
  <si>
    <t>Еротичні жіночі трусики Art of Sex - Kаrin Black розмір XS-M</t>
  </si>
  <si>
    <t>SO5899</t>
  </si>
  <si>
    <t>Суха олія-шимер для волосся та тіла Bijoux Indiscrets Slow Sex Hair and skin shimmer dry oil</t>
  </si>
  <si>
    <t>SO5902</t>
  </si>
  <si>
    <t>Стимулювальний бальзам для мінету Bijoux Indiscrets Slow Sex Oral sex balm</t>
  </si>
  <si>
    <t>SO5903</t>
  </si>
  <si>
    <t>Стимулювальний бальзам для сосків Bijoux Indiscrets Slow Sex Nipple play gel</t>
  </si>
  <si>
    <t>SO5906</t>
  </si>
  <si>
    <t>Розігрівальна їстівна масажна олія Bijoux Indiscrets Slow Sex Warming massage oil</t>
  </si>
  <si>
    <t>SO5909</t>
  </si>
  <si>
    <t>Смужки для орального сексу Bijoux Indiscrets Slow Sex Oral sex strips</t>
  </si>
  <si>
    <t>SO5910</t>
  </si>
  <si>
    <t>Рідкий вібратор Bijoux Indiscrets Clitherapy Liquid Vibrator – IT'S A MATCH</t>
  </si>
  <si>
    <t>SO5947</t>
  </si>
  <si>
    <t>Пробник Bijoux Indiscrets  Sachette Finger play gel (2 мл)</t>
  </si>
  <si>
    <t>SO5951</t>
  </si>
  <si>
    <t>Стимулювальний блиск для губ Bijoux Indiscrets Tingling Lip Gloss Oral Pleasure – warming&amp;cooling</t>
  </si>
  <si>
    <t>SO5994</t>
  </si>
  <si>
    <t>Флогер Alive Fantasy Red</t>
  </si>
  <si>
    <t>SO5998</t>
  </si>
  <si>
    <t>Металева анальна пробка з кристалом Alive Mini Metal Butt Plug Blue S</t>
  </si>
  <si>
    <t>SO5999</t>
  </si>
  <si>
    <t>Металева анальна пробка з кристалом Alive Mini Metal Butt Plug Red M</t>
  </si>
  <si>
    <t>SO6003</t>
  </si>
  <si>
    <t>Металева анальна пробка з кристалом Alive Mini Metal Butt Plug White M</t>
  </si>
  <si>
    <t>SO6009</t>
  </si>
  <si>
    <t>Металева анальна пробка з кристалом Alive Mini Metal Butt Plug White S</t>
  </si>
  <si>
    <t>SO6011</t>
  </si>
  <si>
    <t>Металева анальна пробка з кристалом Alive Mini Metal Butt Plug Black S</t>
  </si>
  <si>
    <t>SO6012</t>
  </si>
  <si>
    <t>Металева анальна пробка з кристалом Alive Mini Metal Butt Plug Pink S</t>
  </si>
  <si>
    <t>SO6033</t>
  </si>
  <si>
    <t>Потужний мінівібратор Svakom Tulip Violet</t>
  </si>
  <si>
    <t>SO6075</t>
  </si>
  <si>
    <t>Вібратор із перлинною стимуляцією точки G Satisfyer Rrrolling Pleasure Mint</t>
  </si>
  <si>
    <t>SO6157</t>
  </si>
  <si>
    <t>Лубрикант на водній основі System JO Cocktails - Mojito без цукру, рослинний гліцерин (60 мл)</t>
  </si>
  <si>
    <t>SO6158</t>
  </si>
  <si>
    <t>Лубрикант на водній основі System JO Cocktails - Pina Colada без цукру, рослинний гліцерин (60 мл)</t>
  </si>
  <si>
    <t>SO6287</t>
  </si>
  <si>
    <t>Satisfyer Cutie Heart Blue</t>
  </si>
  <si>
    <t>SO6290</t>
  </si>
  <si>
    <t>Еротична гра Правда або дія (Для пар) (UA)</t>
  </si>
  <si>
    <t>SO6291</t>
  </si>
  <si>
    <t>Еротична гра «Сексополія» (UA)</t>
  </si>
  <si>
    <t>SO6292</t>
  </si>
  <si>
    <t>Еротична гра Правда або дія (Для веселої компанії) (UA)</t>
  </si>
  <si>
    <t>SO6372</t>
  </si>
  <si>
    <t>Ерекційне віброкільце Svakom Winni 2, керування зі смартфона, пульт ДК</t>
  </si>
  <si>
    <t>SO6598</t>
  </si>
  <si>
    <t>Набір БДСМ Art of Sex - Soft Touch BDSM Set, 9 предметів, Чорний</t>
  </si>
  <si>
    <t>SO6608</t>
  </si>
  <si>
    <t>Лоскітка зі шлепалкою Піка Art of Sex - Puff Peak, колір Чорний</t>
  </si>
  <si>
    <t>SO6634</t>
  </si>
  <si>
    <t>Bijoux Indiscrets Sex au Naturel – Clitorale Arousal Serum</t>
  </si>
  <si>
    <t>SO6694</t>
  </si>
  <si>
    <t>Силіконова анальна пробка М Art of Sex - Silicone Butt plug Rabbit Tail,Чорний</t>
  </si>
  <si>
    <t>SO6696</t>
  </si>
  <si>
    <t>Бондажний набір Art of Sex - Bondage set Anasteisha, чорний, XS-M</t>
  </si>
  <si>
    <t>SO6707</t>
  </si>
  <si>
    <t>Кляп силіконове кільце натуральна шкіра, Gag Ring внутрішній діаметр кільця 40 мм, Чорний</t>
  </si>
  <si>
    <t>SO6720</t>
  </si>
  <si>
    <t>Вібратор Satisfyer Bold Lover Dark Pink</t>
  </si>
  <si>
    <t>SO6726</t>
  </si>
  <si>
    <t>Вакуумний стимулятор із вібрацією Satisfyer Curvy Trinity 5 (Blue)</t>
  </si>
  <si>
    <t>SO6769</t>
  </si>
  <si>
    <t>Натуральна масажна олія System JO Aromatix — Massage Oil — Vanilla 120 мл</t>
  </si>
  <si>
    <t>SO6881</t>
  </si>
  <si>
    <t>Ажурний бебі-дол JSY Тіна One Size білий, трусики-стрінги</t>
  </si>
  <si>
    <t>SO6928</t>
  </si>
  <si>
    <t>Вакуумний смарт-стимулятор для пар Melt by We-Vibe Midnight Blue, зручно поєднувати з проникним секс</t>
  </si>
  <si>
    <t>SO6935</t>
  </si>
  <si>
    <t>Потужний мінівібромасажер Touch X Green Velvet by We-Vibe, зручно поєднувати з проникним сексом</t>
  </si>
  <si>
    <t>SO6978</t>
  </si>
  <si>
    <t>Еротична гра "Ти - мені, я - тобі" (UA)</t>
  </si>
  <si>
    <t>SO6979</t>
  </si>
  <si>
    <t>Вібратор-помада Lovense Exomoon, працює через застосунок</t>
  </si>
  <si>
    <t>SO6995</t>
  </si>
  <si>
    <t>Вібратор-кролик Svakom Aylin, пульсівна ділянка для точки G</t>
  </si>
  <si>
    <t>SO7026</t>
  </si>
  <si>
    <t>Фалоімітатор SilexD Johnny Pink Glow in the dark, двошаровий, силікон+Silexpan, діаметр 3,5см</t>
  </si>
  <si>
    <t>SO7119</t>
  </si>
  <si>
    <t>Преміальна змазка на водній основі pjur INFINITY water-based (50 мл) без запашників та консервантів</t>
  </si>
  <si>
    <t>SO7300</t>
  </si>
  <si>
    <t>Атласна пов’язка маска Obsessive Blindfold black One size, чорна</t>
  </si>
  <si>
    <t>SO7322</t>
  </si>
  <si>
    <t>Вакуумний стимулятор Svakom Pulse Lite Neo Lavender, керується зі смартфона</t>
  </si>
  <si>
    <t>SO7373</t>
  </si>
  <si>
    <t>Портупея жіноча Art of Sex - Mirra, натуральна шкіра, розмір XS-2XL, колір чорний</t>
  </si>
  <si>
    <t>SO7429</t>
  </si>
  <si>
    <t>Металева анальна пробка Wooomy Tralalo Rose Gold Metal Plug Magenta S, діаметр 2,8 см, довжина 7 см</t>
  </si>
  <si>
    <t>SO7482</t>
  </si>
  <si>
    <t>Пестиси на груди Art of Sex - Fuck me, Чорний</t>
  </si>
  <si>
    <t>SO7496</t>
  </si>
  <si>
    <t>Еротична гра «Рольові ігри» (UA)</t>
  </si>
  <si>
    <t>SO7679</t>
  </si>
  <si>
    <t>Наручники Fetish Tentation Adjustable Handcuffs, регульовані, знімний ланцюжок з карабінами</t>
  </si>
  <si>
    <t>SO7720</t>
  </si>
  <si>
    <t>Парфуми з феромонами Obsessive Perfume Fun (30 мл)</t>
  </si>
  <si>
    <t>SO7757</t>
  </si>
  <si>
    <t>Мастурбатор-груди Cutie Pies Hannah's Handful - Pussy &amp; Boob, глибина 9,9 см, віброкуля в подарунок</t>
  </si>
  <si>
    <t>SO7788</t>
  </si>
  <si>
    <t>Вібратор на палець Satisfyer Love Riot Pink, 12 варіантів використання</t>
  </si>
  <si>
    <t>SO7791</t>
  </si>
  <si>
    <t>Набір менструальних чаш Satisfyer Feel Confident (Transparent), 15мл та 20мл, мішечок для зберігання</t>
  </si>
  <si>
    <t>SO7832</t>
  </si>
  <si>
    <t>Спрей для мінету Sensuva Deeply Love You Spearmint (29 мл), для глибокого мінету</t>
  </si>
  <si>
    <t>SO7833</t>
  </si>
  <si>
    <t>Змазка на водній основі Sensuva Natural Water-Based Peach (57мл) без гліцерину та парабенів</t>
  </si>
  <si>
    <t>SO7890</t>
  </si>
  <si>
    <t>Leg Avenue Roleplay Nightshift Nurse + 1X-2X White/Red</t>
  </si>
  <si>
    <t>SO7891</t>
  </si>
  <si>
    <t>Leg Avenue Roleplay Fantasy French Maid + 1X-2X Black/White</t>
  </si>
  <si>
    <t>SO7894</t>
  </si>
  <si>
    <t>Leg Avenue Roleplay Schoolgirl + 1X-2X Black</t>
  </si>
  <si>
    <t>SO7966</t>
  </si>
  <si>
    <t>Панчохи-сітка Leg Avenue Nylon Fishnet Thigh Highs Red, дрібна сітка, one size</t>
  </si>
  <si>
    <t>SO7990</t>
  </si>
  <si>
    <t>Leg Avenue Fence Net Thigh Highs OS Neon Pink</t>
  </si>
  <si>
    <t>SO8104</t>
  </si>
  <si>
    <t>Звуковий стимулятор LELO SONA 2 Cruise Cerise</t>
  </si>
  <si>
    <t>SO8107</t>
  </si>
  <si>
    <t>Вакуумний стимулятор LELO SONA Pink</t>
  </si>
  <si>
    <t>SO8133</t>
  </si>
  <si>
    <t>Презервативи LELO HEX Condoms Respect XL 36 Pack</t>
  </si>
  <si>
    <t>SO8219</t>
  </si>
  <si>
    <t>Смарт вібратор в трусики Svakom Erica Romantic Rose, дуже гнучкий, 2 мотори</t>
  </si>
  <si>
    <t>SO8401</t>
  </si>
  <si>
    <t>Вакуумний стимулятор з вібрацією Satisfyer Orca</t>
  </si>
  <si>
    <t>SO8516</t>
  </si>
  <si>
    <t>Затискачі для сосків Art of Sex - Crystal Heart Red, золото</t>
  </si>
  <si>
    <t>SO8743</t>
  </si>
  <si>
    <t>Вакуумний кліторальний стимулятор Womanizer Starlet 3 PINK</t>
  </si>
  <si>
    <t>SO8821</t>
  </si>
  <si>
    <t>Паддл Bedroom Fantasies Paddle Spanking Toy - Black</t>
  </si>
  <si>
    <t>SO8907</t>
  </si>
  <si>
    <t>Фалоімітатор Naked Addiction – 8.6” Silicone Rotating &amp; Thrusting Vibrating Dildo with Remote Black</t>
  </si>
  <si>
    <t>SO8977</t>
  </si>
  <si>
    <t>Інтерактивний вібратор-пульсатор Svakom Ava Neo</t>
  </si>
  <si>
    <t>SO9157</t>
  </si>
  <si>
    <t>Бодістокінг Leg Avenue Racer neck bodystocking Black</t>
  </si>
  <si>
    <t>SO9243</t>
  </si>
  <si>
    <t>Еротичний костюм медсестри JSY 8105 One Size</t>
  </si>
  <si>
    <t>SO9339</t>
  </si>
  <si>
    <t>Bijoux Indiscrets SLOW SEX Oral Sex Oil CBD</t>
  </si>
  <si>
    <t>SO9342</t>
  </si>
  <si>
    <t>Bijoux Indiscrets SLOW SEX Arousal Sex Oil CBD</t>
  </si>
  <si>
    <t>SO9482</t>
  </si>
  <si>
    <t>Маска на очі Liebe Seele Black Organosilicon Blindfold</t>
  </si>
  <si>
    <t>SO9483</t>
  </si>
  <si>
    <t>Кляп Liebe Seele Black Organosilicon Ball Gag</t>
  </si>
  <si>
    <t>SO9485</t>
  </si>
  <si>
    <t>Наручники Liebe Seele Black Organosilicon Wrist Cuff</t>
  </si>
  <si>
    <t>SO9524</t>
  </si>
  <si>
    <t>Мотузка для Шібарі Liebe Seele Shibari 10M Rope Red</t>
  </si>
  <si>
    <t>SO9612</t>
  </si>
  <si>
    <t>Змазка на водній основі pjur Woman Nude 250 мл без консервантів, парабенів, гліцерину</t>
  </si>
  <si>
    <t>SO9804</t>
  </si>
  <si>
    <t>Мастурбатор яйце Tenga Egg Hard Boilded II</t>
  </si>
  <si>
    <t>SO9811</t>
  </si>
  <si>
    <t>Пробник Bijoux Indiscrets Sachette Arousal CBD - SLOW SEX</t>
  </si>
  <si>
    <t>SO9818</t>
  </si>
  <si>
    <t>Спрей для мінету Sensuva Deeply Love You Cotton Candy (29 мл), для глибокого мінету</t>
  </si>
  <si>
    <t>SO9821</t>
  </si>
  <si>
    <t>Смачний гель для вишуканих мануальних та оральних пестощів Sensuva — Handipop Strawberry (59 мл)</t>
  </si>
  <si>
    <t>SO9828</t>
  </si>
  <si>
    <t>Зігрівальний масажний гель Sensuva Sizzle Lips Pina Colada (59 мл), без цукру, їстівний</t>
  </si>
  <si>
    <t>SO9831</t>
  </si>
  <si>
    <t>Масажна олія Sensuva Sensuva Me&amp;You - Lust in Paradise (Lemon, Ginger, Orange, Vanilla &amp; Sugar) 59 м</t>
  </si>
  <si>
    <t>SO9854</t>
  </si>
  <si>
    <t>Спрей для мінету Doc Johnson GoodHead DeepThroat Spray - Blue Raspberry 59 мл для глибокого мінету</t>
  </si>
  <si>
    <t>SO9870</t>
  </si>
  <si>
    <t>Лубрикант на силіконовій основі Wet Pure Silicone Platinum (30 мл)</t>
  </si>
  <si>
    <t>SO9871</t>
  </si>
  <si>
    <t>Лубрикант на силіконовій основі Wet Pure Silicone Platinum (118 мл)</t>
  </si>
  <si>
    <t>SO9876</t>
  </si>
  <si>
    <t>Лубрикант на водно-силіконовій основі Wet Water and Silicone Hybrid (236 мл)</t>
  </si>
  <si>
    <t>SO9896</t>
  </si>
  <si>
    <t>Лубрикант з екстрактом канабісу Wet Hemptation, на водній основі, зволожувальний (30 мл)</t>
  </si>
  <si>
    <t>SO9899</t>
  </si>
  <si>
    <t>Анальний лубрикант на силіконовій основі Wet Uranus Anal Lube, густий, без кольору та запаху (30 мл)</t>
  </si>
  <si>
    <t>SO9901</t>
  </si>
  <si>
    <t>Анальний лубрикант на силіконовій основі Wet Uranus Anal Lube, густий, без кольору та запаху (236мл)</t>
  </si>
  <si>
    <t>SO9917</t>
  </si>
  <si>
    <t>Охолоджувальний лубрикант на водно-силіконовій основі Wet Extra Sensations Tingling (118 мл)</t>
  </si>
  <si>
    <t>SO9933</t>
  </si>
  <si>
    <t>Ерекційне кільце Wooomy Toro M Black</t>
  </si>
  <si>
    <t>SO9945</t>
  </si>
  <si>
    <t>Мастурбатор Toi et moi - Clara</t>
  </si>
  <si>
    <t>SO9976</t>
  </si>
  <si>
    <t>Наручники із екошкіри Art of Sex - Handcuffs Emoji, колір чорний</t>
  </si>
  <si>
    <t>AD30352</t>
  </si>
  <si>
    <t>Дерев'яний кубик з позами Adrien Lastic Dice Sexy (1 шт)</t>
  </si>
  <si>
    <t>MD0029</t>
  </si>
  <si>
    <t>Ерекційне кільце Dorcel Maximize Ring, еластичне, зі стимулюючими кульками</t>
  </si>
  <si>
    <t>MD1120</t>
  </si>
  <si>
    <t>Анальний ланцюжок Dorcel Deep Feel, силікон, макс. діаметр 2,5 см, пружна</t>
  </si>
  <si>
    <t>MD1397</t>
  </si>
  <si>
    <t>Ерекційне кільце Dorcel Power Clit White PHOSPHO з вібрацією, біле, світиться в темряві</t>
  </si>
  <si>
    <t>MD1410</t>
  </si>
  <si>
    <t>Ерекційне кільце Dorcel Power Clit Black V2 з вібрацією та язичком з щіточкою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</si>
</sst>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C5E0B4"/>
      </patternFill>
    </fill>
    <fill>
      <patternFill patternType="solid">
        <fgColor rgb="FFD9D9D9"/>
      </patternFill>
    </fill>
    <fill>
      <patternFill patternType="solid">
        <fgColor rgb="FFFBE5D6"/>
      </patternFill>
    </fill>
  </fills>
  <borders count="2">
    <border>
      <left/>
      <right/>
      <top/>
      <bottom/>
      <diagonal/>
    </border>
    <border>
      <left/>
      <right/>
      <top/>
      <bottom style="thin">
        <color rgb="FFE5E7EB"/>
      </bottom>
      <diagonal/>
    </border>
  </borders>
  <cellStyleXfs count="1">
    <xf numFmtId="0" fontId="0" fillId="0" borderId="0"/>
  </cellStyleXfs>
  <cellXfs count="25">
    <xf numFmtId="0" fontId="0" fillId="0" borderId="0" xfId="0"/>
    <xf numFmtId="164" fontId="0" fillId="0" borderId="0" xfId="0" applyNumberFormat="1"/>
    <xf numFmtId="4" fontId="0" fillId="0" borderId="0" xfId="0" applyNumberFormat="1"/>
    <xf numFmtId="165" fontId="0" fillId="0" borderId="0" xfId="0" applyNumberFormat="1"/>
    <xf numFmtId="9" fontId="0" fillId="0" borderId="0" xfId="0" applyNumberFormat="1"/>
    <xf numFmtId="3" fontId="0" fillId="0" borderId="0" xfId="0" applyNumberFormat="1"/>
    <xf numFmtId="0" fontId="1" fillId="0" borderId="0" xfId="0" applyFont="1"/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164" fontId="1" fillId="2" borderId="1" xfId="0" applyNumberFormat="1" applyFont="1" applyFill="1" applyBorder="1" applyAlignment="1">
      <alignment vertical="top"/>
    </xf>
    <xf numFmtId="164" fontId="1" fillId="3" borderId="1" xfId="0" applyNumberFormat="1" applyFont="1" applyFill="1" applyBorder="1" applyAlignment="1">
      <alignment vertical="top"/>
    </xf>
    <xf numFmtId="164" fontId="1" fillId="4" borderId="1" xfId="0" applyNumberFormat="1" applyFont="1" applyFill="1" applyBorder="1" applyAlignment="1">
      <alignment vertical="top"/>
    </xf>
    <xf numFmtId="4" fontId="1" fillId="0" borderId="1" xfId="0" applyNumberFormat="1" applyFont="1" applyBorder="1" applyAlignment="1">
      <alignment vertical="top"/>
    </xf>
    <xf numFmtId="165" fontId="1" fillId="0" borderId="1" xfId="0" applyNumberFormat="1" applyFont="1" applyBorder="1" applyAlignment="1">
      <alignment vertical="top"/>
    </xf>
    <xf numFmtId="9" fontId="1" fillId="0" borderId="1" xfId="0" applyNumberFormat="1" applyFont="1" applyBorder="1" applyAlignment="1">
      <alignment vertical="top"/>
    </xf>
    <xf numFmtId="3" fontId="1" fillId="5" borderId="1" xfId="0" applyNumberFormat="1" applyFont="1" applyFill="1" applyBorder="1" applyAlignment="1">
      <alignment vertical="top"/>
    </xf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vertical="top"/>
    </xf>
    <xf numFmtId="164" fontId="0" fillId="2" borderId="1" xfId="0" applyNumberFormat="1" applyFill="1" applyBorder="1" applyAlignment="1">
      <alignment vertical="top"/>
    </xf>
    <xf numFmtId="164" fontId="0" fillId="3" borderId="1" xfId="0" applyNumberFormat="1" applyFill="1" applyBorder="1" applyAlignment="1">
      <alignment vertical="top"/>
    </xf>
    <xf numFmtId="164" fontId="0" fillId="4" borderId="1" xfId="0" applyNumberFormat="1" applyFill="1" applyBorder="1" applyAlignment="1">
      <alignment vertical="top"/>
    </xf>
    <xf numFmtId="4" fontId="0" fillId="0" borderId="1" xfId="0" applyNumberFormat="1" applyBorder="1" applyAlignment="1">
      <alignment vertical="top"/>
    </xf>
    <xf numFmtId="165" fontId="0" fillId="0" borderId="1" xfId="0" applyNumberFormat="1" applyBorder="1" applyAlignment="1">
      <alignment vertical="top"/>
    </xf>
    <xf numFmtId="9" fontId="0" fillId="0" borderId="1" xfId="0" applyNumberFormat="1" applyBorder="1" applyAlignment="1">
      <alignment vertical="top"/>
    </xf>
    <xf numFmtId="3" fontId="0" fillId="5" borderId="1" xfId="0" applyNumberForma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72" customWidth="1"/>
    <col min="3" max="6" width="11" style="1" customWidth="1"/>
    <col min="7" max="8" width="14" style="1" customWidth="1"/>
    <col min="9" max="9" width="11" style="1" customWidth="1"/>
    <col min="10" max="10" width="10" style="2" customWidth="1"/>
    <col min="11" max="11" width="10" style="3" customWidth="1"/>
    <col min="12" max="12" width="10" style="4" customWidth="1"/>
    <col min="13" max="13" width="10" style="5" customWidth="1"/>
  </cols>
  <sheetData>
    <row r="1" spans="1:13" s="6" customFormat="1" x14ac:dyDescent="0.25">
      <c r="A1" s="7" t="s">
        <v>0</v>
      </c>
      <c r="B1" s="7" t="s">
        <v>1</v>
      </c>
      <c r="C1" s="8" t="s">
        <v>2</v>
      </c>
      <c r="D1" s="8" t="s">
        <v>3</v>
      </c>
      <c r="E1" s="9" t="s">
        <v>1</v>
      </c>
      <c r="F1" s="8" t="s">
        <v>4</v>
      </c>
      <c r="G1" s="10" t="s">
        <v>5</v>
      </c>
      <c r="H1" s="8" t="s">
        <v>6</v>
      </c>
      <c r="I1" s="11" t="s">
        <v>7</v>
      </c>
      <c r="J1" s="12" t="s">
        <v>1</v>
      </c>
      <c r="K1" s="13" t="s">
        <v>1</v>
      </c>
      <c r="L1" s="14" t="s">
        <v>1</v>
      </c>
      <c r="M1" s="15" t="s">
        <v>8</v>
      </c>
    </row>
    <row r="2" spans="1:13" x14ac:dyDescent="0.25">
      <c r="A2" s="16" t="s">
        <v>9</v>
      </c>
      <c r="B2" s="16" t="s">
        <v>10</v>
      </c>
      <c r="C2" s="17">
        <v>1</v>
      </c>
      <c r="D2" s="17">
        <v>2</v>
      </c>
      <c r="E2" s="18">
        <v>3</v>
      </c>
      <c r="F2" s="17">
        <v>2</v>
      </c>
      <c r="G2" s="19">
        <v>2</v>
      </c>
      <c r="H2" s="17" t="s">
        <v>1</v>
      </c>
      <c r="I2" s="20">
        <v>1</v>
      </c>
      <c r="J2" s="21">
        <v>1.5</v>
      </c>
      <c r="K2" s="22">
        <v>21</v>
      </c>
      <c r="L2" s="23">
        <v>0.667</v>
      </c>
      <c r="M2" s="24">
        <f>IF(MAX(0,ROUNDUP(F2*2-I2,0))=0,"",MAX(0,ROUNDUP(F2*2-I2,0)))</f>
        <v>3</v>
      </c>
    </row>
    <row r="3" spans="1:13" x14ac:dyDescent="0.25">
      <c r="A3" s="16" t="s">
        <v>11</v>
      </c>
      <c r="B3" s="16" t="s">
        <v>12</v>
      </c>
      <c r="C3" s="17">
        <v>1</v>
      </c>
      <c r="D3" s="17">
        <v>1</v>
      </c>
      <c r="E3" s="18">
        <v>2</v>
      </c>
      <c r="F3" s="17">
        <v>1</v>
      </c>
      <c r="G3" s="19">
        <v>1</v>
      </c>
      <c r="H3" s="17" t="s">
        <v>1</v>
      </c>
      <c r="I3" s="20">
        <v>1</v>
      </c>
      <c r="J3" s="21">
        <v>2</v>
      </c>
      <c r="K3" s="22">
        <v>28</v>
      </c>
      <c r="L3" s="23">
        <v>0.5</v>
      </c>
      <c r="M3" s="24">
        <f>IF(MAX(0,ROUNDUP(F3*2-I3,0))=0,"",MAX(0,ROUNDUP(F3*2-I3,0)))</f>
        <v>1</v>
      </c>
    </row>
    <row r="4" spans="1:13" x14ac:dyDescent="0.25">
      <c r="A4" s="16" t="s">
        <v>13</v>
      </c>
      <c r="B4" s="16" t="s">
        <v>14</v>
      </c>
      <c r="C4" s="17">
        <v>2</v>
      </c>
      <c r="D4" s="17" t="s">
        <v>1</v>
      </c>
      <c r="E4" s="18">
        <v>2</v>
      </c>
      <c r="F4" s="17">
        <v>1</v>
      </c>
      <c r="G4" s="19" t="s">
        <v>1</v>
      </c>
      <c r="H4" s="17">
        <v>1</v>
      </c>
      <c r="I4" s="20">
        <v>1</v>
      </c>
      <c r="J4" s="21">
        <v>2</v>
      </c>
      <c r="K4" s="22">
        <v>28</v>
      </c>
      <c r="L4" s="23">
        <v>0.5</v>
      </c>
      <c r="M4" s="24">
        <f>IF(MAX(0,ROUNDUP(F4*2-I4,0))=0,"",MAX(0,ROUNDUP(F4*2-I4,0)))</f>
        <v>1</v>
      </c>
    </row>
    <row r="5" spans="1:13" x14ac:dyDescent="0.25">
      <c r="A5" s="16" t="s">
        <v>15</v>
      </c>
      <c r="B5" s="16" t="s">
        <v>16</v>
      </c>
      <c r="C5" s="17">
        <v>2</v>
      </c>
      <c r="D5" s="17">
        <v>9</v>
      </c>
      <c r="E5" s="18">
        <v>11</v>
      </c>
      <c r="F5" s="17">
        <v>9</v>
      </c>
      <c r="G5" s="19">
        <v>9</v>
      </c>
      <c r="H5" s="17" t="s">
        <v>1</v>
      </c>
      <c r="I5" s="20">
        <v>2</v>
      </c>
      <c r="J5" s="21">
        <v>1.222</v>
      </c>
      <c r="K5" s="22">
        <v>17.1</v>
      </c>
      <c r="L5" s="23">
        <v>0.818</v>
      </c>
      <c r="M5" s="24">
        <f>IF(MAX(0,ROUNDUP(F5*2-I5,0))=0,"",MAX(0,ROUNDUP(F5*2-I5,0)))</f>
        <v>16</v>
      </c>
    </row>
    <row r="6" spans="1:13" x14ac:dyDescent="0.25">
      <c r="A6" s="16" t="s">
        <v>17</v>
      </c>
      <c r="B6" s="16" t="s">
        <v>18</v>
      </c>
      <c r="C6" s="17">
        <v>2</v>
      </c>
      <c r="D6" s="17">
        <v>5</v>
      </c>
      <c r="E6" s="18">
        <v>7</v>
      </c>
      <c r="F6" s="17">
        <v>4</v>
      </c>
      <c r="G6" s="19">
        <v>4</v>
      </c>
      <c r="H6" s="17" t="s">
        <v>1</v>
      </c>
      <c r="I6" s="20">
        <v>3</v>
      </c>
      <c r="J6" s="21">
        <v>1.75</v>
      </c>
      <c r="K6" s="22">
        <v>24.5</v>
      </c>
      <c r="L6" s="23">
        <v>0.571</v>
      </c>
      <c r="M6" s="24">
        <f>IF(MAX(0,ROUNDUP(F6*2-I6,0))=0,"",MAX(0,ROUNDUP(F6*2-I6,0)))</f>
        <v>5</v>
      </c>
    </row>
    <row r="7" spans="1:13" x14ac:dyDescent="0.25">
      <c r="A7" s="16" t="s">
        <v>19</v>
      </c>
      <c r="B7" s="16" t="s">
        <v>20</v>
      </c>
      <c r="C7" s="17">
        <v>2</v>
      </c>
      <c r="D7" s="17">
        <v>4</v>
      </c>
      <c r="E7" s="18">
        <v>6</v>
      </c>
      <c r="F7" s="17">
        <v>5</v>
      </c>
      <c r="G7" s="19">
        <v>5</v>
      </c>
      <c r="H7" s="17" t="s">
        <v>1</v>
      </c>
      <c r="I7" s="20">
        <v>1</v>
      </c>
      <c r="J7" s="21">
        <v>1.2</v>
      </c>
      <c r="K7" s="22">
        <v>16.8</v>
      </c>
      <c r="L7" s="23">
        <v>0.833</v>
      </c>
      <c r="M7" s="24">
        <f>IF(MAX(0,ROUNDUP(F7*2-I7,0))=0,"",MAX(0,ROUNDUP(F7*2-I7,0)))</f>
        <v>9</v>
      </c>
    </row>
    <row r="8" spans="1:13" x14ac:dyDescent="0.25">
      <c r="A8" s="16" t="s">
        <v>21</v>
      </c>
      <c r="B8" s="16" t="s">
        <v>22</v>
      </c>
      <c r="C8" s="17">
        <v>2</v>
      </c>
      <c r="D8" s="17">
        <v>7</v>
      </c>
      <c r="E8" s="18">
        <v>9</v>
      </c>
      <c r="F8" s="17">
        <v>6</v>
      </c>
      <c r="G8" s="19">
        <v>6</v>
      </c>
      <c r="H8" s="17" t="s">
        <v>1</v>
      </c>
      <c r="I8" s="20">
        <v>3</v>
      </c>
      <c r="J8" s="21">
        <v>1.5</v>
      </c>
      <c r="K8" s="22">
        <v>21</v>
      </c>
      <c r="L8" s="23">
        <v>0.667</v>
      </c>
      <c r="M8" s="24">
        <f>IF(MAX(0,ROUNDUP(F8*2-I8,0))=0,"",MAX(0,ROUNDUP(F8*2-I8,0)))</f>
        <v>9</v>
      </c>
    </row>
    <row r="9" spans="1:13" x14ac:dyDescent="0.25">
      <c r="A9" s="16" t="s">
        <v>23</v>
      </c>
      <c r="B9" s="16" t="s">
        <v>24</v>
      </c>
      <c r="C9" s="17">
        <v>2</v>
      </c>
      <c r="D9" s="17">
        <v>4</v>
      </c>
      <c r="E9" s="18">
        <v>6</v>
      </c>
      <c r="F9" s="17">
        <v>3</v>
      </c>
      <c r="G9" s="19">
        <v>3</v>
      </c>
      <c r="H9" s="17" t="s">
        <v>1</v>
      </c>
      <c r="I9" s="20">
        <v>3</v>
      </c>
      <c r="J9" s="21">
        <v>2</v>
      </c>
      <c r="K9" s="22">
        <v>28</v>
      </c>
      <c r="L9" s="23">
        <v>0.5</v>
      </c>
      <c r="M9" s="24">
        <f>IF(MAX(0,ROUNDUP(F9*2-I9,0))=0,"",MAX(0,ROUNDUP(F9*2-I9,0)))</f>
        <v>3</v>
      </c>
    </row>
    <row r="10" spans="1:13" x14ac:dyDescent="0.25">
      <c r="A10" s="16" t="s">
        <v>25</v>
      </c>
      <c r="B10" s="16" t="s">
        <v>26</v>
      </c>
      <c r="C10" s="17">
        <v>1</v>
      </c>
      <c r="D10" s="17" t="s">
        <v>1</v>
      </c>
      <c r="E10" s="18">
        <v>1</v>
      </c>
      <c r="F10" s="17">
        <v>1</v>
      </c>
      <c r="G10" s="19">
        <v>1</v>
      </c>
      <c r="H10" s="17" t="s">
        <v>1</v>
      </c>
      <c r="I10" s="20">
        <v>0</v>
      </c>
      <c r="J10" s="21">
        <v>1</v>
      </c>
      <c r="K10" s="22">
        <v>14</v>
      </c>
      <c r="L10" s="23">
        <v>1</v>
      </c>
      <c r="M10" s="24">
        <f>IF(MAX(0,ROUNDUP(F10*2-I10,0))=0,"",MAX(0,ROUNDUP(F10*2-I10,0)))</f>
        <v>2</v>
      </c>
    </row>
    <row r="11" spans="1:13" x14ac:dyDescent="0.25">
      <c r="A11" s="16" t="s">
        <v>27</v>
      </c>
      <c r="B11" s="16" t="s">
        <v>28</v>
      </c>
      <c r="C11" s="17">
        <v>1</v>
      </c>
      <c r="D11" s="17">
        <v>1</v>
      </c>
      <c r="E11" s="18">
        <v>2</v>
      </c>
      <c r="F11" s="17">
        <v>1</v>
      </c>
      <c r="G11" s="19">
        <v>1</v>
      </c>
      <c r="H11" s="17" t="s">
        <v>1</v>
      </c>
      <c r="I11" s="20">
        <v>1</v>
      </c>
      <c r="J11" s="21">
        <v>2</v>
      </c>
      <c r="K11" s="22">
        <v>28</v>
      </c>
      <c r="L11" s="23">
        <v>0.5</v>
      </c>
      <c r="M11" s="24">
        <f>IF(MAX(0,ROUNDUP(F11*2-I11,0))=0,"",MAX(0,ROUNDUP(F11*2-I11,0)))</f>
        <v>1</v>
      </c>
    </row>
    <row r="12" spans="1:13" x14ac:dyDescent="0.25">
      <c r="A12" s="16" t="s">
        <v>29</v>
      </c>
      <c r="B12" s="16" t="s">
        <v>30</v>
      </c>
      <c r="C12" s="17">
        <v>1</v>
      </c>
      <c r="D12" s="17">
        <v>3</v>
      </c>
      <c r="E12" s="18">
        <v>4</v>
      </c>
      <c r="F12" s="17">
        <v>2</v>
      </c>
      <c r="G12" s="19">
        <v>2</v>
      </c>
      <c r="H12" s="17" t="s">
        <v>1</v>
      </c>
      <c r="I12" s="20">
        <v>2</v>
      </c>
      <c r="J12" s="21">
        <v>2</v>
      </c>
      <c r="K12" s="22">
        <v>28</v>
      </c>
      <c r="L12" s="23">
        <v>0.5</v>
      </c>
      <c r="M12" s="24">
        <f>IF(MAX(0,ROUNDUP(F12*2-I12,0))=0,"",MAX(0,ROUNDUP(F12*2-I12,0)))</f>
        <v>2</v>
      </c>
    </row>
    <row r="13" spans="1:13" x14ac:dyDescent="0.25">
      <c r="A13" s="16" t="s">
        <v>31</v>
      </c>
      <c r="B13" s="16" t="s">
        <v>32</v>
      </c>
      <c r="C13" s="17">
        <v>1</v>
      </c>
      <c r="D13" s="17">
        <v>2</v>
      </c>
      <c r="E13" s="18">
        <v>3</v>
      </c>
      <c r="F13" s="17">
        <v>2</v>
      </c>
      <c r="G13" s="19">
        <v>2</v>
      </c>
      <c r="H13" s="17" t="s">
        <v>1</v>
      </c>
      <c r="I13" s="20">
        <v>1</v>
      </c>
      <c r="J13" s="21">
        <v>1.5</v>
      </c>
      <c r="K13" s="22">
        <v>21</v>
      </c>
      <c r="L13" s="23">
        <v>0.667</v>
      </c>
      <c r="M13" s="24">
        <f>IF(MAX(0,ROUNDUP(F13*2-I13,0))=0,"",MAX(0,ROUNDUP(F13*2-I13,0)))</f>
        <v>3</v>
      </c>
    </row>
    <row r="14" spans="1:13" x14ac:dyDescent="0.25">
      <c r="A14" s="16" t="s">
        <v>33</v>
      </c>
      <c r="B14" s="16" t="s">
        <v>34</v>
      </c>
      <c r="C14" s="17">
        <v>2</v>
      </c>
      <c r="D14" s="17">
        <v>2</v>
      </c>
      <c r="E14" s="18">
        <v>4</v>
      </c>
      <c r="F14" s="17">
        <v>2</v>
      </c>
      <c r="G14" s="19">
        <v>2</v>
      </c>
      <c r="H14" s="17" t="s">
        <v>1</v>
      </c>
      <c r="I14" s="20">
        <v>2</v>
      </c>
      <c r="J14" s="21">
        <v>2</v>
      </c>
      <c r="K14" s="22">
        <v>28</v>
      </c>
      <c r="L14" s="23">
        <v>0.5</v>
      </c>
      <c r="M14" s="24">
        <f>IF(MAX(0,ROUNDUP(F14*2-I14,0))=0,"",MAX(0,ROUNDUP(F14*2-I14,0)))</f>
        <v>2</v>
      </c>
    </row>
    <row r="15" spans="1:13" x14ac:dyDescent="0.25">
      <c r="A15" s="16" t="s">
        <v>35</v>
      </c>
      <c r="B15" s="16" t="s">
        <v>36</v>
      </c>
      <c r="C15" s="17">
        <v>2</v>
      </c>
      <c r="D15" s="17" t="s">
        <v>1</v>
      </c>
      <c r="E15" s="18">
        <v>2</v>
      </c>
      <c r="F15" s="17">
        <v>1</v>
      </c>
      <c r="G15" s="19" t="s">
        <v>1</v>
      </c>
      <c r="H15" s="17">
        <v>1</v>
      </c>
      <c r="I15" s="20">
        <v>1</v>
      </c>
      <c r="J15" s="21">
        <v>2</v>
      </c>
      <c r="K15" s="22">
        <v>28</v>
      </c>
      <c r="L15" s="23">
        <v>0.5</v>
      </c>
      <c r="M15" s="24">
        <f>IF(MAX(0,ROUNDUP(F15*2-I15,0))=0,"",MAX(0,ROUNDUP(F15*2-I15,0)))</f>
        <v>1</v>
      </c>
    </row>
    <row r="16" spans="1:13" x14ac:dyDescent="0.25">
      <c r="A16" s="16" t="s">
        <v>37</v>
      </c>
      <c r="B16" s="16" t="s">
        <v>38</v>
      </c>
      <c r="C16" s="17">
        <v>2</v>
      </c>
      <c r="D16" s="17">
        <v>2</v>
      </c>
      <c r="E16" s="18">
        <v>4</v>
      </c>
      <c r="F16" s="17">
        <v>2</v>
      </c>
      <c r="G16" s="19">
        <v>1</v>
      </c>
      <c r="H16" s="17">
        <v>1</v>
      </c>
      <c r="I16" s="20">
        <v>2</v>
      </c>
      <c r="J16" s="21">
        <v>2</v>
      </c>
      <c r="K16" s="22">
        <v>28</v>
      </c>
      <c r="L16" s="23">
        <v>0.5</v>
      </c>
      <c r="M16" s="24">
        <f>IF(MAX(0,ROUNDUP(F16*2-I16,0))=0,"",MAX(0,ROUNDUP(F16*2-I16,0)))</f>
        <v>2</v>
      </c>
    </row>
    <row r="17" spans="1:13" x14ac:dyDescent="0.25">
      <c r="A17" s="16" t="s">
        <v>39</v>
      </c>
      <c r="B17" s="16" t="s">
        <v>40</v>
      </c>
      <c r="C17" s="17">
        <v>4</v>
      </c>
      <c r="D17" s="17">
        <v>49</v>
      </c>
      <c r="E17" s="18">
        <v>53</v>
      </c>
      <c r="F17" s="17">
        <v>49</v>
      </c>
      <c r="G17" s="19">
        <v>47</v>
      </c>
      <c r="H17" s="17" t="s">
        <v>1</v>
      </c>
      <c r="I17" s="20">
        <v>4</v>
      </c>
      <c r="J17" s="21">
        <v>1.082</v>
      </c>
      <c r="K17" s="22">
        <v>15.1</v>
      </c>
      <c r="L17" s="23">
        <v>0.925</v>
      </c>
      <c r="M17" s="24">
        <f>IF(MAX(0,ROUNDUP(F17*2-I17,0))=0,"",MAX(0,ROUNDUP(F17*2-I17,0)))</f>
        <v>94</v>
      </c>
    </row>
    <row r="18" spans="1:13" x14ac:dyDescent="0.25">
      <c r="A18" s="16" t="s">
        <v>41</v>
      </c>
      <c r="B18" s="16" t="s">
        <v>42</v>
      </c>
      <c r="C18" s="17">
        <v>5</v>
      </c>
      <c r="D18" s="17">
        <v>43</v>
      </c>
      <c r="E18" s="18">
        <v>48</v>
      </c>
      <c r="F18" s="17">
        <v>42</v>
      </c>
      <c r="G18" s="19">
        <v>40</v>
      </c>
      <c r="H18" s="17">
        <v>2</v>
      </c>
      <c r="I18" s="20">
        <v>6</v>
      </c>
      <c r="J18" s="21">
        <v>1.143</v>
      </c>
      <c r="K18" s="22">
        <v>16</v>
      </c>
      <c r="L18" s="23">
        <v>0.875</v>
      </c>
      <c r="M18" s="24">
        <f>IF(MAX(0,ROUNDUP(F18*2-I18,0))=0,"",MAX(0,ROUNDUP(F18*2-I18,0)))</f>
        <v>78</v>
      </c>
    </row>
    <row r="19" spans="1:13" x14ac:dyDescent="0.25">
      <c r="A19" s="16" t="s">
        <v>43</v>
      </c>
      <c r="B19" s="16" t="s">
        <v>44</v>
      </c>
      <c r="C19" s="17">
        <v>1</v>
      </c>
      <c r="D19" s="17">
        <v>3</v>
      </c>
      <c r="E19" s="18">
        <v>4</v>
      </c>
      <c r="F19" s="17">
        <v>3</v>
      </c>
      <c r="G19" s="19">
        <v>3</v>
      </c>
      <c r="H19" s="17" t="s">
        <v>1</v>
      </c>
      <c r="I19" s="20">
        <v>1</v>
      </c>
      <c r="J19" s="21">
        <v>1.333</v>
      </c>
      <c r="K19" s="22">
        <v>18.7</v>
      </c>
      <c r="L19" s="23">
        <v>0.75</v>
      </c>
      <c r="M19" s="24">
        <f>IF(MAX(0,ROUNDUP(F19*2-I19,0))=0,"",MAX(0,ROUNDUP(F19*2-I19,0)))</f>
        <v>5</v>
      </c>
    </row>
    <row r="20" spans="1:13" x14ac:dyDescent="0.25">
      <c r="A20" s="16" t="s">
        <v>45</v>
      </c>
      <c r="B20" s="16" t="s">
        <v>46</v>
      </c>
      <c r="C20" s="17">
        <v>6</v>
      </c>
      <c r="D20" s="17">
        <v>6</v>
      </c>
      <c r="E20" s="18">
        <v>12</v>
      </c>
      <c r="F20" s="17">
        <v>7</v>
      </c>
      <c r="G20" s="19">
        <v>7</v>
      </c>
      <c r="H20" s="17" t="s">
        <v>1</v>
      </c>
      <c r="I20" s="20">
        <v>5</v>
      </c>
      <c r="J20" s="21">
        <v>1.714</v>
      </c>
      <c r="K20" s="22">
        <v>24</v>
      </c>
      <c r="L20" s="23">
        <v>0.583</v>
      </c>
      <c r="M20" s="24">
        <f>IF(MAX(0,ROUNDUP(F20*2-I20,0))=0,"",MAX(0,ROUNDUP(F20*2-I20,0)))</f>
        <v>9</v>
      </c>
    </row>
    <row r="21" spans="1:13" x14ac:dyDescent="0.25">
      <c r="A21" s="16" t="s">
        <v>47</v>
      </c>
      <c r="B21" s="16" t="s">
        <v>48</v>
      </c>
      <c r="C21" s="17">
        <v>1</v>
      </c>
      <c r="D21" s="17" t="s">
        <v>1</v>
      </c>
      <c r="E21" s="18">
        <v>1</v>
      </c>
      <c r="F21" s="17">
        <v>1</v>
      </c>
      <c r="G21" s="19">
        <v>1</v>
      </c>
      <c r="H21" s="17" t="s">
        <v>1</v>
      </c>
      <c r="I21" s="20">
        <v>0</v>
      </c>
      <c r="J21" s="21">
        <v>1</v>
      </c>
      <c r="K21" s="22">
        <v>14</v>
      </c>
      <c r="L21" s="23">
        <v>1</v>
      </c>
      <c r="M21" s="24">
        <f>IF(MAX(0,ROUNDUP(F21*2-I21,0))=0,"",MAX(0,ROUNDUP(F21*2-I21,0)))</f>
        <v>2</v>
      </c>
    </row>
    <row r="22" spans="1:13" x14ac:dyDescent="0.25">
      <c r="A22" s="16" t="s">
        <v>49</v>
      </c>
      <c r="B22" s="16" t="s">
        <v>50</v>
      </c>
      <c r="C22" s="17">
        <v>1</v>
      </c>
      <c r="D22" s="17">
        <v>3</v>
      </c>
      <c r="E22" s="18">
        <v>4</v>
      </c>
      <c r="F22" s="17">
        <v>2</v>
      </c>
      <c r="G22" s="19">
        <v>2</v>
      </c>
      <c r="H22" s="17" t="s">
        <v>1</v>
      </c>
      <c r="I22" s="20">
        <v>2</v>
      </c>
      <c r="J22" s="21">
        <v>2</v>
      </c>
      <c r="K22" s="22">
        <v>28</v>
      </c>
      <c r="L22" s="23">
        <v>0.5</v>
      </c>
      <c r="M22" s="24">
        <f>IF(MAX(0,ROUNDUP(F22*2-I22,0))=0,"",MAX(0,ROUNDUP(F22*2-I22,0)))</f>
        <v>2</v>
      </c>
    </row>
    <row r="23" spans="1:13" x14ac:dyDescent="0.25">
      <c r="A23" s="16" t="s">
        <v>51</v>
      </c>
      <c r="B23" s="16" t="s">
        <v>52</v>
      </c>
      <c r="C23" s="17">
        <v>2</v>
      </c>
      <c r="D23" s="17">
        <v>5</v>
      </c>
      <c r="E23" s="18">
        <v>7</v>
      </c>
      <c r="F23" s="17">
        <v>4</v>
      </c>
      <c r="G23" s="19">
        <v>4</v>
      </c>
      <c r="H23" s="17" t="s">
        <v>1</v>
      </c>
      <c r="I23" s="20">
        <v>3</v>
      </c>
      <c r="J23" s="21">
        <v>1.75</v>
      </c>
      <c r="K23" s="22">
        <v>24.5</v>
      </c>
      <c r="L23" s="23">
        <v>0.571</v>
      </c>
      <c r="M23" s="24">
        <f>IF(MAX(0,ROUNDUP(F23*2-I23,0))=0,"",MAX(0,ROUNDUP(F23*2-I23,0)))</f>
        <v>5</v>
      </c>
    </row>
    <row r="24" spans="1:13" x14ac:dyDescent="0.25">
      <c r="A24" s="16" t="s">
        <v>53</v>
      </c>
      <c r="B24" s="16" t="s">
        <v>54</v>
      </c>
      <c r="C24" s="17">
        <v>2</v>
      </c>
      <c r="D24" s="17">
        <v>2</v>
      </c>
      <c r="E24" s="18">
        <v>4</v>
      </c>
      <c r="F24" s="17">
        <v>2</v>
      </c>
      <c r="G24" s="19">
        <v>2</v>
      </c>
      <c r="H24" s="17" t="s">
        <v>1</v>
      </c>
      <c r="I24" s="20">
        <v>2</v>
      </c>
      <c r="J24" s="21">
        <v>2</v>
      </c>
      <c r="K24" s="22">
        <v>28</v>
      </c>
      <c r="L24" s="23">
        <v>0.5</v>
      </c>
      <c r="M24" s="24">
        <f>IF(MAX(0,ROUNDUP(F24*2-I24,0))=0,"",MAX(0,ROUNDUP(F24*2-I24,0)))</f>
        <v>2</v>
      </c>
    </row>
    <row r="25" spans="1:13" x14ac:dyDescent="0.25">
      <c r="A25" s="16" t="s">
        <v>55</v>
      </c>
      <c r="B25" s="16" t="s">
        <v>56</v>
      </c>
      <c r="C25" s="17">
        <v>2</v>
      </c>
      <c r="D25" s="17">
        <v>7</v>
      </c>
      <c r="E25" s="18">
        <v>9</v>
      </c>
      <c r="F25" s="17">
        <v>5</v>
      </c>
      <c r="G25" s="19">
        <v>5</v>
      </c>
      <c r="H25" s="17" t="s">
        <v>1</v>
      </c>
      <c r="I25" s="20">
        <v>4</v>
      </c>
      <c r="J25" s="21">
        <v>1.8</v>
      </c>
      <c r="K25" s="22">
        <v>25.2</v>
      </c>
      <c r="L25" s="23">
        <v>0.556</v>
      </c>
      <c r="M25" s="24">
        <f>IF(MAX(0,ROUNDUP(F25*2-I25,0))=0,"",MAX(0,ROUNDUP(F25*2-I25,0)))</f>
        <v>6</v>
      </c>
    </row>
    <row r="26" spans="1:13" x14ac:dyDescent="0.25">
      <c r="A26" s="16" t="s">
        <v>57</v>
      </c>
      <c r="B26" s="16" t="s">
        <v>58</v>
      </c>
      <c r="C26" s="17">
        <v>1</v>
      </c>
      <c r="D26" s="17">
        <v>3</v>
      </c>
      <c r="E26" s="18">
        <v>4</v>
      </c>
      <c r="F26" s="17">
        <v>2</v>
      </c>
      <c r="G26" s="19">
        <v>2</v>
      </c>
      <c r="H26" s="17" t="s">
        <v>1</v>
      </c>
      <c r="I26" s="20">
        <v>2</v>
      </c>
      <c r="J26" s="21">
        <v>2</v>
      </c>
      <c r="K26" s="22">
        <v>28</v>
      </c>
      <c r="L26" s="23">
        <v>0.5</v>
      </c>
      <c r="M26" s="24">
        <f>IF(MAX(0,ROUNDUP(F26*2-I26,0))=0,"",MAX(0,ROUNDUP(F26*2-I26,0)))</f>
        <v>2</v>
      </c>
    </row>
    <row r="27" spans="1:13" x14ac:dyDescent="0.25">
      <c r="A27" s="16" t="s">
        <v>59</v>
      </c>
      <c r="B27" s="16" t="s">
        <v>60</v>
      </c>
      <c r="C27" s="17">
        <v>1</v>
      </c>
      <c r="D27" s="17">
        <v>1</v>
      </c>
      <c r="E27" s="18">
        <v>2</v>
      </c>
      <c r="F27" s="17">
        <v>2</v>
      </c>
      <c r="G27" s="19">
        <v>2</v>
      </c>
      <c r="H27" s="17" t="s">
        <v>1</v>
      </c>
      <c r="I27" s="20">
        <v>0</v>
      </c>
      <c r="J27" s="21">
        <v>1</v>
      </c>
      <c r="K27" s="22">
        <v>14</v>
      </c>
      <c r="L27" s="23">
        <v>1</v>
      </c>
      <c r="M27" s="24">
        <f>IF(MAX(0,ROUNDUP(F27*2-I27,0))=0,"",MAX(0,ROUNDUP(F27*2-I27,0)))</f>
        <v>4</v>
      </c>
    </row>
    <row r="28" spans="1:13" x14ac:dyDescent="0.25">
      <c r="A28" s="16" t="s">
        <v>61</v>
      </c>
      <c r="B28" s="16" t="s">
        <v>62</v>
      </c>
      <c r="C28" s="17">
        <v>1</v>
      </c>
      <c r="D28" s="17" t="s">
        <v>1</v>
      </c>
      <c r="E28" s="18">
        <v>1</v>
      </c>
      <c r="F28" s="17">
        <v>1</v>
      </c>
      <c r="G28" s="19" t="s">
        <v>1</v>
      </c>
      <c r="H28" s="17">
        <v>1</v>
      </c>
      <c r="I28" s="20">
        <v>0</v>
      </c>
      <c r="J28" s="21">
        <v>1</v>
      </c>
      <c r="K28" s="22">
        <v>14</v>
      </c>
      <c r="L28" s="23">
        <v>1</v>
      </c>
      <c r="M28" s="24">
        <f>IF(MAX(0,ROUNDUP(F28*2-I28,0))=0,"",MAX(0,ROUNDUP(F28*2-I28,0)))</f>
        <v>2</v>
      </c>
    </row>
    <row r="29" spans="1:13" x14ac:dyDescent="0.25">
      <c r="A29" s="16" t="s">
        <v>63</v>
      </c>
      <c r="B29" s="16" t="s">
        <v>64</v>
      </c>
      <c r="C29" s="17">
        <v>1</v>
      </c>
      <c r="D29" s="17" t="s">
        <v>1</v>
      </c>
      <c r="E29" s="18">
        <v>1</v>
      </c>
      <c r="F29" s="17">
        <v>1</v>
      </c>
      <c r="G29" s="19" t="s">
        <v>1</v>
      </c>
      <c r="H29" s="17">
        <v>1</v>
      </c>
      <c r="I29" s="20">
        <v>0</v>
      </c>
      <c r="J29" s="21">
        <v>1</v>
      </c>
      <c r="K29" s="22">
        <v>14</v>
      </c>
      <c r="L29" s="23">
        <v>1</v>
      </c>
      <c r="M29" s="24">
        <f>IF(MAX(0,ROUNDUP(F29*2-I29,0))=0,"",MAX(0,ROUNDUP(F29*2-I29,0)))</f>
        <v>2</v>
      </c>
    </row>
    <row r="30" spans="1:13" x14ac:dyDescent="0.25">
      <c r="A30" s="16" t="s">
        <v>65</v>
      </c>
      <c r="B30" s="16" t="s">
        <v>66</v>
      </c>
      <c r="C30" s="17">
        <v>1</v>
      </c>
      <c r="D30" s="17" t="s">
        <v>1</v>
      </c>
      <c r="E30" s="18">
        <v>1</v>
      </c>
      <c r="F30" s="17">
        <v>1</v>
      </c>
      <c r="G30" s="19" t="s">
        <v>1</v>
      </c>
      <c r="H30" s="17">
        <v>1</v>
      </c>
      <c r="I30" s="20">
        <v>0</v>
      </c>
      <c r="J30" s="21">
        <v>1</v>
      </c>
      <c r="K30" s="22">
        <v>14</v>
      </c>
      <c r="L30" s="23">
        <v>1</v>
      </c>
      <c r="M30" s="24">
        <f>IF(MAX(0,ROUNDUP(F30*2-I30,0))=0,"",MAX(0,ROUNDUP(F30*2-I30,0)))</f>
        <v>2</v>
      </c>
    </row>
    <row r="31" spans="1:13" x14ac:dyDescent="0.25">
      <c r="A31" s="16" t="s">
        <v>67</v>
      </c>
      <c r="B31" s="16" t="s">
        <v>68</v>
      </c>
      <c r="C31" s="17">
        <v>1</v>
      </c>
      <c r="D31" s="17" t="s">
        <v>1</v>
      </c>
      <c r="E31" s="18">
        <v>1</v>
      </c>
      <c r="F31" s="17">
        <v>1</v>
      </c>
      <c r="G31" s="19" t="s">
        <v>1</v>
      </c>
      <c r="H31" s="17">
        <v>1</v>
      </c>
      <c r="I31" s="20">
        <v>0</v>
      </c>
      <c r="J31" s="21">
        <v>1</v>
      </c>
      <c r="K31" s="22">
        <v>14</v>
      </c>
      <c r="L31" s="23">
        <v>1</v>
      </c>
      <c r="M31" s="24">
        <f>IF(MAX(0,ROUNDUP(F31*2-I31,0))=0,"",MAX(0,ROUNDUP(F31*2-I31,0)))</f>
        <v>2</v>
      </c>
    </row>
    <row r="32" spans="1:13" x14ac:dyDescent="0.25">
      <c r="A32" s="16" t="s">
        <v>69</v>
      </c>
      <c r="B32" s="16" t="s">
        <v>70</v>
      </c>
      <c r="C32" s="17">
        <v>1</v>
      </c>
      <c r="D32" s="17" t="s">
        <v>1</v>
      </c>
      <c r="E32" s="18">
        <v>1</v>
      </c>
      <c r="F32" s="17">
        <v>1</v>
      </c>
      <c r="G32" s="19" t="s">
        <v>1</v>
      </c>
      <c r="H32" s="17">
        <v>1</v>
      </c>
      <c r="I32" s="20">
        <v>0</v>
      </c>
      <c r="J32" s="21">
        <v>1</v>
      </c>
      <c r="K32" s="22">
        <v>14</v>
      </c>
      <c r="L32" s="23">
        <v>1</v>
      </c>
      <c r="M32" s="24">
        <f>IF(MAX(0,ROUNDUP(F32*2-I32,0))=0,"",MAX(0,ROUNDUP(F32*2-I32,0)))</f>
        <v>2</v>
      </c>
    </row>
    <row r="33" spans="1:13" x14ac:dyDescent="0.25">
      <c r="A33" s="16" t="s">
        <v>71</v>
      </c>
      <c r="B33" s="16" t="s">
        <v>72</v>
      </c>
      <c r="C33" s="17">
        <v>1</v>
      </c>
      <c r="D33" s="17">
        <v>2</v>
      </c>
      <c r="E33" s="18">
        <v>3</v>
      </c>
      <c r="F33" s="17">
        <v>2</v>
      </c>
      <c r="G33" s="19">
        <v>2</v>
      </c>
      <c r="H33" s="17" t="s">
        <v>1</v>
      </c>
      <c r="I33" s="20">
        <v>1</v>
      </c>
      <c r="J33" s="21">
        <v>1.5</v>
      </c>
      <c r="K33" s="22">
        <v>21</v>
      </c>
      <c r="L33" s="23">
        <v>0.667</v>
      </c>
      <c r="M33" s="24">
        <f>IF(MAX(0,ROUNDUP(F33*2-I33,0))=0,"",MAX(0,ROUNDUP(F33*2-I33,0)))</f>
        <v>3</v>
      </c>
    </row>
    <row r="34" spans="1:13" x14ac:dyDescent="0.25">
      <c r="A34" s="16" t="s">
        <v>73</v>
      </c>
      <c r="B34" s="16" t="s">
        <v>74</v>
      </c>
      <c r="C34" s="17">
        <v>1</v>
      </c>
      <c r="D34" s="17" t="s">
        <v>1</v>
      </c>
      <c r="E34" s="18">
        <v>1</v>
      </c>
      <c r="F34" s="17">
        <v>1</v>
      </c>
      <c r="G34" s="19">
        <v>1</v>
      </c>
      <c r="H34" s="17" t="s">
        <v>1</v>
      </c>
      <c r="I34" s="20">
        <v>0</v>
      </c>
      <c r="J34" s="21">
        <v>1</v>
      </c>
      <c r="K34" s="22">
        <v>14</v>
      </c>
      <c r="L34" s="23">
        <v>1</v>
      </c>
      <c r="M34" s="24">
        <f>IF(MAX(0,ROUNDUP(F34*2-I34,0))=0,"",MAX(0,ROUNDUP(F34*2-I34,0)))</f>
        <v>2</v>
      </c>
    </row>
    <row r="35" spans="1:13" x14ac:dyDescent="0.25">
      <c r="A35" s="16" t="s">
        <v>75</v>
      </c>
      <c r="B35" s="16" t="s">
        <v>76</v>
      </c>
      <c r="C35" s="17">
        <v>6</v>
      </c>
      <c r="D35" s="17">
        <v>2</v>
      </c>
      <c r="E35" s="18">
        <v>8</v>
      </c>
      <c r="F35" s="17">
        <v>6</v>
      </c>
      <c r="G35" s="19">
        <v>6</v>
      </c>
      <c r="H35" s="17" t="s">
        <v>1</v>
      </c>
      <c r="I35" s="20">
        <v>2</v>
      </c>
      <c r="J35" s="21">
        <v>1.333</v>
      </c>
      <c r="K35" s="22">
        <v>18.7</v>
      </c>
      <c r="L35" s="23">
        <v>0.75</v>
      </c>
      <c r="M35" s="24">
        <f>IF(MAX(0,ROUNDUP(F35*2-I35,0))=0,"",MAX(0,ROUNDUP(F35*2-I35,0)))</f>
        <v>10</v>
      </c>
    </row>
    <row r="36" spans="1:13" x14ac:dyDescent="0.25">
      <c r="A36" s="16" t="s">
        <v>77</v>
      </c>
      <c r="B36" s="16" t="s">
        <v>78</v>
      </c>
      <c r="C36" s="17">
        <v>2</v>
      </c>
      <c r="D36" s="17">
        <v>6</v>
      </c>
      <c r="E36" s="18">
        <v>8</v>
      </c>
      <c r="F36" s="17">
        <v>4</v>
      </c>
      <c r="G36" s="19">
        <v>4</v>
      </c>
      <c r="H36" s="17" t="s">
        <v>1</v>
      </c>
      <c r="I36" s="20">
        <v>4</v>
      </c>
      <c r="J36" s="21">
        <v>2</v>
      </c>
      <c r="K36" s="22">
        <v>28</v>
      </c>
      <c r="L36" s="23">
        <v>0.5</v>
      </c>
      <c r="M36" s="24">
        <f>IF(MAX(0,ROUNDUP(F36*2-I36,0))=0,"",MAX(0,ROUNDUP(F36*2-I36,0)))</f>
        <v>4</v>
      </c>
    </row>
    <row r="37" spans="1:13" x14ac:dyDescent="0.25">
      <c r="A37" s="16" t="s">
        <v>79</v>
      </c>
      <c r="B37" s="16" t="s">
        <v>80</v>
      </c>
      <c r="C37" s="17">
        <v>3</v>
      </c>
      <c r="D37" s="17">
        <v>3</v>
      </c>
      <c r="E37" s="18">
        <v>6</v>
      </c>
      <c r="F37" s="17">
        <v>4</v>
      </c>
      <c r="G37" s="19">
        <v>3</v>
      </c>
      <c r="H37" s="17">
        <v>1</v>
      </c>
      <c r="I37" s="20">
        <v>2</v>
      </c>
      <c r="J37" s="21">
        <v>1.5</v>
      </c>
      <c r="K37" s="22">
        <v>21</v>
      </c>
      <c r="L37" s="23">
        <v>0.667</v>
      </c>
      <c r="M37" s="24">
        <f>IF(MAX(0,ROUNDUP(F37*2-I37,0))=0,"",MAX(0,ROUNDUP(F37*2-I37,0)))</f>
        <v>6</v>
      </c>
    </row>
    <row r="38" spans="1:13" x14ac:dyDescent="0.25">
      <c r="A38" s="16" t="s">
        <v>81</v>
      </c>
      <c r="B38" s="16" t="s">
        <v>82</v>
      </c>
      <c r="C38" s="17">
        <v>1</v>
      </c>
      <c r="D38" s="17" t="s">
        <v>1</v>
      </c>
      <c r="E38" s="18">
        <v>1</v>
      </c>
      <c r="F38" s="17">
        <v>1</v>
      </c>
      <c r="G38" s="19" t="s">
        <v>1</v>
      </c>
      <c r="H38" s="17">
        <v>1</v>
      </c>
      <c r="I38" s="20">
        <v>0</v>
      </c>
      <c r="J38" s="21">
        <v>1</v>
      </c>
      <c r="K38" s="22">
        <v>14</v>
      </c>
      <c r="L38" s="23">
        <v>1</v>
      </c>
      <c r="M38" s="24">
        <f>IF(MAX(0,ROUNDUP(F38*2-I38,0))=0,"",MAX(0,ROUNDUP(F38*2-I38,0)))</f>
        <v>2</v>
      </c>
    </row>
    <row r="39" spans="1:13" x14ac:dyDescent="0.25">
      <c r="A39" s="16" t="s">
        <v>83</v>
      </c>
      <c r="B39" s="16" t="s">
        <v>84</v>
      </c>
      <c r="C39" s="17">
        <v>1</v>
      </c>
      <c r="D39" s="17">
        <v>1</v>
      </c>
      <c r="E39" s="18">
        <v>2</v>
      </c>
      <c r="F39" s="17">
        <v>1</v>
      </c>
      <c r="G39" s="19">
        <v>1</v>
      </c>
      <c r="H39" s="17" t="s">
        <v>1</v>
      </c>
      <c r="I39" s="20">
        <v>1</v>
      </c>
      <c r="J39" s="21">
        <v>2</v>
      </c>
      <c r="K39" s="22">
        <v>28</v>
      </c>
      <c r="L39" s="23">
        <v>0.5</v>
      </c>
      <c r="M39" s="24">
        <f>IF(MAX(0,ROUNDUP(F39*2-I39,0))=0,"",MAX(0,ROUNDUP(F39*2-I39,0)))</f>
        <v>1</v>
      </c>
    </row>
    <row r="40" spans="1:13" x14ac:dyDescent="0.25">
      <c r="A40" s="16" t="s">
        <v>85</v>
      </c>
      <c r="B40" s="16" t="s">
        <v>86</v>
      </c>
      <c r="C40" s="17">
        <v>1</v>
      </c>
      <c r="D40" s="17">
        <v>1</v>
      </c>
      <c r="E40" s="18">
        <v>2</v>
      </c>
      <c r="F40" s="17">
        <v>1</v>
      </c>
      <c r="G40" s="19">
        <v>1</v>
      </c>
      <c r="H40" s="17" t="s">
        <v>1</v>
      </c>
      <c r="I40" s="20">
        <v>1</v>
      </c>
      <c r="J40" s="21">
        <v>2</v>
      </c>
      <c r="K40" s="22">
        <v>28</v>
      </c>
      <c r="L40" s="23">
        <v>0.5</v>
      </c>
      <c r="M40" s="24">
        <f>IF(MAX(0,ROUNDUP(F40*2-I40,0))=0,"",MAX(0,ROUNDUP(F40*2-I40,0)))</f>
        <v>1</v>
      </c>
    </row>
    <row r="41" spans="1:13" x14ac:dyDescent="0.25">
      <c r="A41" s="16" t="s">
        <v>87</v>
      </c>
      <c r="B41" s="16" t="s">
        <v>88</v>
      </c>
      <c r="C41" s="17">
        <v>1</v>
      </c>
      <c r="D41" s="17" t="s">
        <v>1</v>
      </c>
      <c r="E41" s="18">
        <v>1</v>
      </c>
      <c r="F41" s="17">
        <v>1</v>
      </c>
      <c r="G41" s="19" t="s">
        <v>1</v>
      </c>
      <c r="H41" s="17">
        <v>1</v>
      </c>
      <c r="I41" s="20">
        <v>0</v>
      </c>
      <c r="J41" s="21">
        <v>1</v>
      </c>
      <c r="K41" s="22">
        <v>14</v>
      </c>
      <c r="L41" s="23">
        <v>1</v>
      </c>
      <c r="M41" s="24">
        <f>IF(MAX(0,ROUNDUP(F41*2-I41,0))=0,"",MAX(0,ROUNDUP(F41*2-I41,0)))</f>
        <v>2</v>
      </c>
    </row>
    <row r="42" spans="1:13" x14ac:dyDescent="0.25">
      <c r="A42" s="16" t="s">
        <v>89</v>
      </c>
      <c r="B42" s="16" t="s">
        <v>90</v>
      </c>
      <c r="C42" s="17">
        <v>1</v>
      </c>
      <c r="D42" s="17">
        <v>1</v>
      </c>
      <c r="E42" s="18">
        <v>2</v>
      </c>
      <c r="F42" s="17">
        <v>1</v>
      </c>
      <c r="G42" s="19">
        <v>1</v>
      </c>
      <c r="H42" s="17" t="s">
        <v>1</v>
      </c>
      <c r="I42" s="20">
        <v>1</v>
      </c>
      <c r="J42" s="21">
        <v>2</v>
      </c>
      <c r="K42" s="22">
        <v>28</v>
      </c>
      <c r="L42" s="23">
        <v>0.5</v>
      </c>
      <c r="M42" s="24">
        <f>IF(MAX(0,ROUNDUP(F42*2-I42,0))=0,"",MAX(0,ROUNDUP(F42*2-I42,0)))</f>
        <v>1</v>
      </c>
    </row>
    <row r="43" spans="1:13" x14ac:dyDescent="0.25">
      <c r="A43" s="16" t="s">
        <v>91</v>
      </c>
      <c r="B43" s="16" t="s">
        <v>92</v>
      </c>
      <c r="C43" s="17">
        <v>11</v>
      </c>
      <c r="D43" s="17">
        <v>20</v>
      </c>
      <c r="E43" s="18">
        <v>31</v>
      </c>
      <c r="F43" s="17">
        <v>18</v>
      </c>
      <c r="G43" s="19">
        <v>17</v>
      </c>
      <c r="H43" s="17">
        <v>1</v>
      </c>
      <c r="I43" s="20">
        <v>13</v>
      </c>
      <c r="J43" s="21">
        <v>1.722</v>
      </c>
      <c r="K43" s="22">
        <v>24.1</v>
      </c>
      <c r="L43" s="23">
        <v>0.581</v>
      </c>
      <c r="M43" s="24">
        <f>IF(MAX(0,ROUNDUP(F43*2-I43,0))=0,"",MAX(0,ROUNDUP(F43*2-I43,0)))</f>
        <v>23</v>
      </c>
    </row>
    <row r="44" spans="1:13" x14ac:dyDescent="0.25">
      <c r="A44" s="16" t="s">
        <v>93</v>
      </c>
      <c r="B44" s="16" t="s">
        <v>94</v>
      </c>
      <c r="C44" s="17">
        <v>11</v>
      </c>
      <c r="D44" s="17">
        <v>20</v>
      </c>
      <c r="E44" s="18">
        <v>31</v>
      </c>
      <c r="F44" s="17">
        <v>21</v>
      </c>
      <c r="G44" s="19">
        <v>21</v>
      </c>
      <c r="H44" s="17" t="s">
        <v>1</v>
      </c>
      <c r="I44" s="20">
        <v>10</v>
      </c>
      <c r="J44" s="21">
        <v>1.476</v>
      </c>
      <c r="K44" s="22">
        <v>20.7</v>
      </c>
      <c r="L44" s="23">
        <v>0.677</v>
      </c>
      <c r="M44" s="24">
        <f>IF(MAX(0,ROUNDUP(F44*2-I44,0))=0,"",MAX(0,ROUNDUP(F44*2-I44,0)))</f>
        <v>32</v>
      </c>
    </row>
    <row r="45" spans="1:13" x14ac:dyDescent="0.25">
      <c r="A45" s="16" t="s">
        <v>95</v>
      </c>
      <c r="B45" s="16" t="s">
        <v>96</v>
      </c>
      <c r="C45" s="17">
        <v>12</v>
      </c>
      <c r="D45" s="17" t="s">
        <v>1</v>
      </c>
      <c r="E45" s="18">
        <v>12</v>
      </c>
      <c r="F45" s="17">
        <v>6</v>
      </c>
      <c r="G45" s="19">
        <v>6</v>
      </c>
      <c r="H45" s="17" t="s">
        <v>1</v>
      </c>
      <c r="I45" s="20">
        <v>6</v>
      </c>
      <c r="J45" s="21">
        <v>2</v>
      </c>
      <c r="K45" s="22">
        <v>28</v>
      </c>
      <c r="L45" s="23">
        <v>0.5</v>
      </c>
      <c r="M45" s="24">
        <f>IF(MAX(0,ROUNDUP(F45*2-I45,0))=0,"",MAX(0,ROUNDUP(F45*2-I45,0)))</f>
        <v>6</v>
      </c>
    </row>
    <row r="46" spans="1:13" x14ac:dyDescent="0.25">
      <c r="A46" s="16" t="s">
        <v>97</v>
      </c>
      <c r="B46" s="16" t="s">
        <v>98</v>
      </c>
      <c r="C46" s="17">
        <v>10</v>
      </c>
      <c r="D46" s="17">
        <v>5</v>
      </c>
      <c r="E46" s="18">
        <v>15</v>
      </c>
      <c r="F46" s="17">
        <v>11</v>
      </c>
      <c r="G46" s="19">
        <v>11</v>
      </c>
      <c r="H46" s="17" t="s">
        <v>1</v>
      </c>
      <c r="I46" s="20">
        <v>4</v>
      </c>
      <c r="J46" s="21">
        <v>1.364</v>
      </c>
      <c r="K46" s="22">
        <v>19.1</v>
      </c>
      <c r="L46" s="23">
        <v>0.733</v>
      </c>
      <c r="M46" s="24">
        <f>IF(MAX(0,ROUNDUP(F46*2-I46,0))=0,"",MAX(0,ROUNDUP(F46*2-I46,0)))</f>
        <v>18</v>
      </c>
    </row>
    <row r="47" spans="1:13" x14ac:dyDescent="0.25">
      <c r="A47" s="16" t="s">
        <v>99</v>
      </c>
      <c r="B47" s="16" t="s">
        <v>100</v>
      </c>
      <c r="C47" s="17">
        <v>10</v>
      </c>
      <c r="D47" s="17">
        <v>5</v>
      </c>
      <c r="E47" s="18">
        <v>15</v>
      </c>
      <c r="F47" s="17">
        <v>11</v>
      </c>
      <c r="G47" s="19">
        <v>11</v>
      </c>
      <c r="H47" s="17" t="s">
        <v>1</v>
      </c>
      <c r="I47" s="20">
        <v>4</v>
      </c>
      <c r="J47" s="21">
        <v>1.364</v>
      </c>
      <c r="K47" s="22">
        <v>19.1</v>
      </c>
      <c r="L47" s="23">
        <v>0.733</v>
      </c>
      <c r="M47" s="24">
        <f>IF(MAX(0,ROUNDUP(F47*2-I47,0))=0,"",MAX(0,ROUNDUP(F47*2-I47,0)))</f>
        <v>18</v>
      </c>
    </row>
    <row r="48" spans="1:13" x14ac:dyDescent="0.25">
      <c r="A48" s="16" t="s">
        <v>101</v>
      </c>
      <c r="B48" s="16" t="s">
        <v>102</v>
      </c>
      <c r="C48" s="17">
        <v>10</v>
      </c>
      <c r="D48" s="17" t="s">
        <v>1</v>
      </c>
      <c r="E48" s="18">
        <v>10</v>
      </c>
      <c r="F48" s="17">
        <v>5</v>
      </c>
      <c r="G48" s="19">
        <v>5</v>
      </c>
      <c r="H48" s="17" t="s">
        <v>1</v>
      </c>
      <c r="I48" s="20">
        <v>5</v>
      </c>
      <c r="J48" s="21">
        <v>2</v>
      </c>
      <c r="K48" s="22">
        <v>28</v>
      </c>
      <c r="L48" s="23">
        <v>0.5</v>
      </c>
      <c r="M48" s="24">
        <f>IF(MAX(0,ROUNDUP(F48*2-I48,0))=0,"",MAX(0,ROUNDUP(F48*2-I48,0)))</f>
        <v>5</v>
      </c>
    </row>
    <row r="49" spans="1:13" x14ac:dyDescent="0.25">
      <c r="A49" s="16" t="s">
        <v>103</v>
      </c>
      <c r="B49" s="16" t="s">
        <v>104</v>
      </c>
      <c r="C49" s="17">
        <v>10</v>
      </c>
      <c r="D49" s="17">
        <v>10</v>
      </c>
      <c r="E49" s="18">
        <v>20</v>
      </c>
      <c r="F49" s="17">
        <v>10</v>
      </c>
      <c r="G49" s="19">
        <v>10</v>
      </c>
      <c r="H49" s="17" t="s">
        <v>1</v>
      </c>
      <c r="I49" s="20">
        <v>10</v>
      </c>
      <c r="J49" s="21">
        <v>2</v>
      </c>
      <c r="K49" s="22">
        <v>28</v>
      </c>
      <c r="L49" s="23">
        <v>0.5</v>
      </c>
      <c r="M49" s="24">
        <f>IF(MAX(0,ROUNDUP(F49*2-I49,0))=0,"",MAX(0,ROUNDUP(F49*2-I49,0)))</f>
        <v>10</v>
      </c>
    </row>
    <row r="50" spans="1:13" x14ac:dyDescent="0.25">
      <c r="A50" s="16" t="s">
        <v>105</v>
      </c>
      <c r="B50" s="16" t="s">
        <v>106</v>
      </c>
      <c r="C50" s="17">
        <v>10</v>
      </c>
      <c r="D50" s="17" t="s">
        <v>1</v>
      </c>
      <c r="E50" s="18">
        <v>10</v>
      </c>
      <c r="F50" s="17">
        <v>7</v>
      </c>
      <c r="G50" s="19">
        <v>7</v>
      </c>
      <c r="H50" s="17" t="s">
        <v>1</v>
      </c>
      <c r="I50" s="20">
        <v>3</v>
      </c>
      <c r="J50" s="21">
        <v>1.429</v>
      </c>
      <c r="K50" s="22">
        <v>20</v>
      </c>
      <c r="L50" s="23">
        <v>0.7</v>
      </c>
      <c r="M50" s="24">
        <f>IF(MAX(0,ROUNDUP(F50*2-I50,0))=0,"",MAX(0,ROUNDUP(F50*2-I50,0)))</f>
        <v>11</v>
      </c>
    </row>
    <row r="51" spans="1:13" x14ac:dyDescent="0.25">
      <c r="A51" s="16" t="s">
        <v>107</v>
      </c>
      <c r="B51" s="16" t="s">
        <v>108</v>
      </c>
      <c r="C51" s="17">
        <v>9</v>
      </c>
      <c r="D51" s="17" t="s">
        <v>1</v>
      </c>
      <c r="E51" s="18">
        <v>9</v>
      </c>
      <c r="F51" s="17">
        <v>7</v>
      </c>
      <c r="G51" s="19">
        <v>7</v>
      </c>
      <c r="H51" s="17" t="s">
        <v>1</v>
      </c>
      <c r="I51" s="20">
        <v>2</v>
      </c>
      <c r="J51" s="21">
        <v>1.286</v>
      </c>
      <c r="K51" s="22">
        <v>18</v>
      </c>
      <c r="L51" s="23">
        <v>0.778</v>
      </c>
      <c r="M51" s="24">
        <f>IF(MAX(0,ROUNDUP(F51*2-I51,0))=0,"",MAX(0,ROUNDUP(F51*2-I51,0)))</f>
        <v>12</v>
      </c>
    </row>
    <row r="52" spans="1:13" x14ac:dyDescent="0.25">
      <c r="A52" s="16" t="s">
        <v>109</v>
      </c>
      <c r="B52" s="16" t="s">
        <v>110</v>
      </c>
      <c r="C52" s="17">
        <v>7</v>
      </c>
      <c r="D52" s="17">
        <v>20</v>
      </c>
      <c r="E52" s="18">
        <v>27</v>
      </c>
      <c r="F52" s="17">
        <v>13</v>
      </c>
      <c r="G52" s="19">
        <v>13</v>
      </c>
      <c r="H52" s="17" t="s">
        <v>1</v>
      </c>
      <c r="I52" s="20">
        <v>14</v>
      </c>
      <c r="J52" s="21">
        <v>2.077</v>
      </c>
      <c r="K52" s="22">
        <v>29.1</v>
      </c>
      <c r="L52" s="23">
        <v>0.481</v>
      </c>
      <c r="M52" s="24">
        <f>IF(MAX(0,ROUNDUP(F52*2-I52,0))=0,"",MAX(0,ROUNDUP(F52*2-I52,0)))</f>
        <v>12</v>
      </c>
    </row>
    <row r="53" spans="1:13" x14ac:dyDescent="0.25">
      <c r="A53" s="16" t="s">
        <v>111</v>
      </c>
      <c r="B53" s="16" t="s">
        <v>112</v>
      </c>
      <c r="C53" s="17">
        <v>18</v>
      </c>
      <c r="D53" s="17">
        <v>85</v>
      </c>
      <c r="E53" s="18">
        <v>103</v>
      </c>
      <c r="F53" s="17">
        <v>92</v>
      </c>
      <c r="G53" s="19">
        <v>84</v>
      </c>
      <c r="H53" s="17">
        <v>7</v>
      </c>
      <c r="I53" s="20">
        <v>11</v>
      </c>
      <c r="J53" s="21">
        <v>1.12</v>
      </c>
      <c r="K53" s="22">
        <v>15.7</v>
      </c>
      <c r="L53" s="23">
        <v>0.893</v>
      </c>
      <c r="M53" s="24">
        <f>IF(MAX(0,ROUNDUP(F53*2-I53,0))=0,"",MAX(0,ROUNDUP(F53*2-I53,0)))</f>
        <v>173</v>
      </c>
    </row>
    <row r="54" spans="1:13" x14ac:dyDescent="0.25">
      <c r="A54" s="16" t="s">
        <v>113</v>
      </c>
      <c r="B54" s="16" t="s">
        <v>114</v>
      </c>
      <c r="C54" s="17">
        <v>20</v>
      </c>
      <c r="D54" s="17">
        <v>65</v>
      </c>
      <c r="E54" s="18">
        <v>85</v>
      </c>
      <c r="F54" s="17">
        <v>74</v>
      </c>
      <c r="G54" s="19">
        <v>47</v>
      </c>
      <c r="H54" s="17">
        <v>7</v>
      </c>
      <c r="I54" s="20">
        <v>11</v>
      </c>
      <c r="J54" s="21">
        <v>1.149</v>
      </c>
      <c r="K54" s="22">
        <v>16.1</v>
      </c>
      <c r="L54" s="23">
        <v>0.871</v>
      </c>
      <c r="M54" s="24">
        <f>IF(MAX(0,ROUNDUP(F54*2-I54,0))=0,"",MAX(0,ROUNDUP(F54*2-I54,0)))</f>
        <v>137</v>
      </c>
    </row>
    <row r="55" spans="1:13" x14ac:dyDescent="0.25">
      <c r="A55" s="16" t="s">
        <v>115</v>
      </c>
      <c r="B55" s="16" t="s">
        <v>116</v>
      </c>
      <c r="C55" s="17">
        <v>32</v>
      </c>
      <c r="D55" s="17">
        <v>40</v>
      </c>
      <c r="E55" s="18">
        <v>72</v>
      </c>
      <c r="F55" s="17">
        <v>61</v>
      </c>
      <c r="G55" s="19">
        <v>58</v>
      </c>
      <c r="H55" s="17">
        <v>3</v>
      </c>
      <c r="I55" s="20">
        <v>11</v>
      </c>
      <c r="J55" s="21">
        <v>1.18</v>
      </c>
      <c r="K55" s="22">
        <v>16.5</v>
      </c>
      <c r="L55" s="23">
        <v>0.847</v>
      </c>
      <c r="M55" s="24">
        <f>IF(MAX(0,ROUNDUP(F55*2-I55,0))=0,"",MAX(0,ROUNDUP(F55*2-I55,0)))</f>
        <v>111</v>
      </c>
    </row>
    <row r="56" spans="1:13" x14ac:dyDescent="0.25">
      <c r="A56" s="16" t="s">
        <v>117</v>
      </c>
      <c r="B56" s="16" t="s">
        <v>118</v>
      </c>
      <c r="C56" s="17">
        <v>66</v>
      </c>
      <c r="D56" s="17" t="s">
        <v>1</v>
      </c>
      <c r="E56" s="18">
        <v>66</v>
      </c>
      <c r="F56" s="17">
        <v>37</v>
      </c>
      <c r="G56" s="19">
        <v>37</v>
      </c>
      <c r="H56" s="17" t="s">
        <v>1</v>
      </c>
      <c r="I56" s="20">
        <v>29</v>
      </c>
      <c r="J56" s="21">
        <v>1.784</v>
      </c>
      <c r="K56" s="22">
        <v>25</v>
      </c>
      <c r="L56" s="23">
        <v>0.561</v>
      </c>
      <c r="M56" s="24">
        <f>IF(MAX(0,ROUNDUP(F56*2-I56,0))=0,"",MAX(0,ROUNDUP(F56*2-I56,0)))</f>
        <v>45</v>
      </c>
    </row>
    <row r="57" spans="1:13" x14ac:dyDescent="0.25">
      <c r="A57" s="16" t="s">
        <v>119</v>
      </c>
      <c r="B57" s="16" t="s">
        <v>120</v>
      </c>
      <c r="C57" s="17">
        <v>1</v>
      </c>
      <c r="D57" s="17" t="s">
        <v>1</v>
      </c>
      <c r="E57" s="18">
        <v>1</v>
      </c>
      <c r="F57" s="17">
        <v>1</v>
      </c>
      <c r="G57" s="19">
        <v>1</v>
      </c>
      <c r="H57" s="17" t="s">
        <v>1</v>
      </c>
      <c r="I57" s="20">
        <v>0</v>
      </c>
      <c r="J57" s="21">
        <v>1</v>
      </c>
      <c r="K57" s="22">
        <v>14</v>
      </c>
      <c r="L57" s="23">
        <v>1</v>
      </c>
      <c r="M57" s="24">
        <f>IF(MAX(0,ROUNDUP(F57*2-I57,0))=0,"",MAX(0,ROUNDUP(F57*2-I57,0)))</f>
        <v>2</v>
      </c>
    </row>
    <row r="58" spans="1:13" x14ac:dyDescent="0.25">
      <c r="A58" s="16" t="s">
        <v>121</v>
      </c>
      <c r="B58" s="16" t="s">
        <v>122</v>
      </c>
      <c r="C58" s="17">
        <v>7</v>
      </c>
      <c r="D58" s="17" t="s">
        <v>1</v>
      </c>
      <c r="E58" s="18">
        <v>7</v>
      </c>
      <c r="F58" s="17">
        <v>4</v>
      </c>
      <c r="G58" s="19">
        <v>4</v>
      </c>
      <c r="H58" s="17" t="s">
        <v>1</v>
      </c>
      <c r="I58" s="20">
        <v>3</v>
      </c>
      <c r="J58" s="21">
        <v>1.75</v>
      </c>
      <c r="K58" s="22">
        <v>24.5</v>
      </c>
      <c r="L58" s="23">
        <v>0.571</v>
      </c>
      <c r="M58" s="24">
        <f>IF(MAX(0,ROUNDUP(F58*2-I58,0))=0,"",MAX(0,ROUNDUP(F58*2-I58,0)))</f>
        <v>5</v>
      </c>
    </row>
    <row r="59" spans="1:13" x14ac:dyDescent="0.25">
      <c r="A59" s="16" t="s">
        <v>123</v>
      </c>
      <c r="B59" s="16" t="s">
        <v>124</v>
      </c>
      <c r="C59" s="17">
        <v>8</v>
      </c>
      <c r="D59" s="17" t="s">
        <v>1</v>
      </c>
      <c r="E59" s="18">
        <v>8</v>
      </c>
      <c r="F59" s="17">
        <v>4</v>
      </c>
      <c r="G59" s="19">
        <v>4</v>
      </c>
      <c r="H59" s="17" t="s">
        <v>1</v>
      </c>
      <c r="I59" s="20">
        <v>4</v>
      </c>
      <c r="J59" s="21">
        <v>2</v>
      </c>
      <c r="K59" s="22">
        <v>28</v>
      </c>
      <c r="L59" s="23">
        <v>0.5</v>
      </c>
      <c r="M59" s="24">
        <f>IF(MAX(0,ROUNDUP(F59*2-I59,0))=0,"",MAX(0,ROUNDUP(F59*2-I59,0)))</f>
        <v>4</v>
      </c>
    </row>
    <row r="60" spans="1:13" x14ac:dyDescent="0.25">
      <c r="A60" s="16" t="s">
        <v>125</v>
      </c>
      <c r="B60" s="16" t="s">
        <v>126</v>
      </c>
      <c r="C60" s="17">
        <v>8</v>
      </c>
      <c r="D60" s="17" t="s">
        <v>1</v>
      </c>
      <c r="E60" s="18">
        <v>8</v>
      </c>
      <c r="F60" s="17">
        <v>4</v>
      </c>
      <c r="G60" s="19">
        <v>4</v>
      </c>
      <c r="H60" s="17" t="s">
        <v>1</v>
      </c>
      <c r="I60" s="20">
        <v>4</v>
      </c>
      <c r="J60" s="21">
        <v>2</v>
      </c>
      <c r="K60" s="22">
        <v>28</v>
      </c>
      <c r="L60" s="23">
        <v>0.5</v>
      </c>
      <c r="M60" s="24">
        <f>IF(MAX(0,ROUNDUP(F60*2-I60,0))=0,"",MAX(0,ROUNDUP(F60*2-I60,0)))</f>
        <v>4</v>
      </c>
    </row>
    <row r="61" spans="1:13" x14ac:dyDescent="0.25">
      <c r="A61" s="16" t="s">
        <v>127</v>
      </c>
      <c r="B61" s="16" t="s">
        <v>128</v>
      </c>
      <c r="C61" s="17">
        <v>8</v>
      </c>
      <c r="D61" s="17" t="s">
        <v>1</v>
      </c>
      <c r="E61" s="18">
        <v>8</v>
      </c>
      <c r="F61" s="17">
        <v>4</v>
      </c>
      <c r="G61" s="19">
        <v>4</v>
      </c>
      <c r="H61" s="17" t="s">
        <v>1</v>
      </c>
      <c r="I61" s="20">
        <v>4</v>
      </c>
      <c r="J61" s="21">
        <v>2</v>
      </c>
      <c r="K61" s="22">
        <v>28</v>
      </c>
      <c r="L61" s="23">
        <v>0.5</v>
      </c>
      <c r="M61" s="24">
        <f>IF(MAX(0,ROUNDUP(F61*2-I61,0))=0,"",MAX(0,ROUNDUP(F61*2-I61,0)))</f>
        <v>4</v>
      </c>
    </row>
    <row r="62" spans="1:13" x14ac:dyDescent="0.25">
      <c r="A62" s="16" t="s">
        <v>129</v>
      </c>
      <c r="B62" s="16" t="s">
        <v>130</v>
      </c>
      <c r="C62" s="17">
        <v>10</v>
      </c>
      <c r="D62" s="17">
        <v>40</v>
      </c>
      <c r="E62" s="18">
        <v>50</v>
      </c>
      <c r="F62" s="17">
        <v>35</v>
      </c>
      <c r="G62" s="19">
        <v>35</v>
      </c>
      <c r="H62" s="17" t="s">
        <v>1</v>
      </c>
      <c r="I62" s="20">
        <v>15</v>
      </c>
      <c r="J62" s="21">
        <v>1.429</v>
      </c>
      <c r="K62" s="22">
        <v>20</v>
      </c>
      <c r="L62" s="23">
        <v>0.7</v>
      </c>
      <c r="M62" s="24">
        <f>IF(MAX(0,ROUNDUP(F62*2-I62,0))=0,"",MAX(0,ROUNDUP(F62*2-I62,0)))</f>
        <v>55</v>
      </c>
    </row>
    <row r="63" spans="1:13" x14ac:dyDescent="0.25">
      <c r="A63" s="16" t="s">
        <v>131</v>
      </c>
      <c r="B63" s="16" t="s">
        <v>132</v>
      </c>
      <c r="C63" s="17">
        <v>15</v>
      </c>
      <c r="D63" s="17">
        <v>60</v>
      </c>
      <c r="E63" s="18">
        <v>75</v>
      </c>
      <c r="F63" s="17">
        <v>55</v>
      </c>
      <c r="G63" s="19">
        <v>55</v>
      </c>
      <c r="H63" s="17" t="s">
        <v>1</v>
      </c>
      <c r="I63" s="20">
        <v>20</v>
      </c>
      <c r="J63" s="21">
        <v>1.364</v>
      </c>
      <c r="K63" s="22">
        <v>19.1</v>
      </c>
      <c r="L63" s="23">
        <v>0.733</v>
      </c>
      <c r="M63" s="24">
        <f>IF(MAX(0,ROUNDUP(F63*2-I63,0))=0,"",MAX(0,ROUNDUP(F63*2-I63,0)))</f>
        <v>90</v>
      </c>
    </row>
    <row r="64" spans="1:13" x14ac:dyDescent="0.25">
      <c r="A64" s="16" t="s">
        <v>133</v>
      </c>
      <c r="B64" s="16" t="s">
        <v>134</v>
      </c>
      <c r="C64" s="17">
        <v>21</v>
      </c>
      <c r="D64" s="17">
        <v>20</v>
      </c>
      <c r="E64" s="18">
        <v>41</v>
      </c>
      <c r="F64" s="17">
        <v>41</v>
      </c>
      <c r="G64" s="19">
        <v>41</v>
      </c>
      <c r="H64" s="17" t="s">
        <v>1</v>
      </c>
      <c r="I64" s="20">
        <v>0</v>
      </c>
      <c r="J64" s="21">
        <v>1</v>
      </c>
      <c r="K64" s="22">
        <v>14</v>
      </c>
      <c r="L64" s="23">
        <v>1</v>
      </c>
      <c r="M64" s="24">
        <f>IF(MAX(0,ROUNDUP(F64*2-I64,0))=0,"",MAX(0,ROUNDUP(F64*2-I64,0)))</f>
        <v>82</v>
      </c>
    </row>
    <row r="65" spans="1:13" x14ac:dyDescent="0.25">
      <c r="A65" s="16" t="s">
        <v>135</v>
      </c>
      <c r="B65" s="16" t="s">
        <v>136</v>
      </c>
      <c r="C65" s="17">
        <v>22</v>
      </c>
      <c r="D65" s="17">
        <v>180</v>
      </c>
      <c r="E65" s="18">
        <v>202</v>
      </c>
      <c r="F65" s="17">
        <v>167</v>
      </c>
      <c r="G65" s="19">
        <v>165</v>
      </c>
      <c r="H65" s="17" t="s">
        <v>1</v>
      </c>
      <c r="I65" s="20">
        <v>35</v>
      </c>
      <c r="J65" s="21">
        <v>1.21</v>
      </c>
      <c r="K65" s="22">
        <v>16.9</v>
      </c>
      <c r="L65" s="23">
        <v>0.827</v>
      </c>
      <c r="M65" s="24">
        <f>IF(MAX(0,ROUNDUP(F65*2-I65,0))=0,"",MAX(0,ROUNDUP(F65*2-I65,0)))</f>
        <v>299</v>
      </c>
    </row>
    <row r="66" spans="1:13" x14ac:dyDescent="0.25">
      <c r="A66" s="16" t="s">
        <v>137</v>
      </c>
      <c r="B66" s="16" t="s">
        <v>138</v>
      </c>
      <c r="C66" s="17">
        <v>9</v>
      </c>
      <c r="D66" s="17" t="s">
        <v>1</v>
      </c>
      <c r="E66" s="18">
        <v>9</v>
      </c>
      <c r="F66" s="17">
        <v>4</v>
      </c>
      <c r="G66" s="19">
        <v>4</v>
      </c>
      <c r="H66" s="17" t="s">
        <v>1</v>
      </c>
      <c r="I66" s="20">
        <v>5</v>
      </c>
      <c r="J66" s="21">
        <v>2.25</v>
      </c>
      <c r="K66" s="22">
        <v>31.5</v>
      </c>
      <c r="L66" s="23">
        <v>0.444</v>
      </c>
      <c r="M66" s="24">
        <f>IF(MAX(0,ROUNDUP(F66*2-I66,0))=0,"",MAX(0,ROUNDUP(F66*2-I66,0)))</f>
        <v>3</v>
      </c>
    </row>
    <row r="67" spans="1:13" x14ac:dyDescent="0.25">
      <c r="A67" s="16" t="s">
        <v>139</v>
      </c>
      <c r="B67" s="16" t="s">
        <v>140</v>
      </c>
      <c r="C67" s="17">
        <v>4</v>
      </c>
      <c r="D67" s="17">
        <v>3</v>
      </c>
      <c r="E67" s="18">
        <v>7</v>
      </c>
      <c r="F67" s="17">
        <v>6</v>
      </c>
      <c r="G67" s="19">
        <v>6</v>
      </c>
      <c r="H67" s="17" t="s">
        <v>1</v>
      </c>
      <c r="I67" s="20">
        <v>1</v>
      </c>
      <c r="J67" s="21">
        <v>1.167</v>
      </c>
      <c r="K67" s="22">
        <v>16.3</v>
      </c>
      <c r="L67" s="23">
        <v>0.857</v>
      </c>
      <c r="M67" s="24">
        <f>IF(MAX(0,ROUNDUP(F67*2-I67,0))=0,"",MAX(0,ROUNDUP(F67*2-I67,0)))</f>
        <v>11</v>
      </c>
    </row>
    <row r="68" spans="1:13" x14ac:dyDescent="0.25">
      <c r="A68" s="16" t="s">
        <v>141</v>
      </c>
      <c r="B68" s="16" t="s">
        <v>142</v>
      </c>
      <c r="C68" s="17">
        <v>5</v>
      </c>
      <c r="D68" s="17" t="s">
        <v>1</v>
      </c>
      <c r="E68" s="18">
        <v>5</v>
      </c>
      <c r="F68" s="17">
        <v>2</v>
      </c>
      <c r="G68" s="19">
        <v>2</v>
      </c>
      <c r="H68" s="17" t="s">
        <v>1</v>
      </c>
      <c r="I68" s="20">
        <v>3</v>
      </c>
      <c r="J68" s="21">
        <v>2.5</v>
      </c>
      <c r="K68" s="22">
        <v>35</v>
      </c>
      <c r="L68" s="23">
        <v>0.4</v>
      </c>
      <c r="M68" s="24">
        <f>IF(MAX(0,ROUNDUP(F68*2-I68,0))=0,"",MAX(0,ROUNDUP(F68*2-I68,0)))</f>
        <v>1</v>
      </c>
    </row>
    <row r="69" spans="1:13" x14ac:dyDescent="0.25">
      <c r="A69" s="16" t="s">
        <v>143</v>
      </c>
      <c r="B69" s="16" t="s">
        <v>144</v>
      </c>
      <c r="C69" s="17">
        <v>18</v>
      </c>
      <c r="D69" s="17" t="s">
        <v>1</v>
      </c>
      <c r="E69" s="18">
        <v>18</v>
      </c>
      <c r="F69" s="17">
        <v>17</v>
      </c>
      <c r="G69" s="19">
        <v>12</v>
      </c>
      <c r="H69" s="17">
        <v>5</v>
      </c>
      <c r="I69" s="20">
        <v>1</v>
      </c>
      <c r="J69" s="21">
        <v>1.059</v>
      </c>
      <c r="K69" s="22">
        <v>14.8</v>
      </c>
      <c r="L69" s="23">
        <v>0.944</v>
      </c>
      <c r="M69" s="24">
        <f>IF(MAX(0,ROUNDUP(F69*2-I69,0))=0,"",MAX(0,ROUNDUP(F69*2-I69,0)))</f>
        <v>33</v>
      </c>
    </row>
    <row r="70" spans="1:13" x14ac:dyDescent="0.25">
      <c r="A70" s="16" t="s">
        <v>145</v>
      </c>
      <c r="B70" s="16" t="s">
        <v>146</v>
      </c>
      <c r="C70" s="17">
        <v>6</v>
      </c>
      <c r="D70" s="17" t="s">
        <v>1</v>
      </c>
      <c r="E70" s="18">
        <v>6</v>
      </c>
      <c r="F70" s="17">
        <v>4</v>
      </c>
      <c r="G70" s="19">
        <v>1</v>
      </c>
      <c r="H70" s="17">
        <v>3</v>
      </c>
      <c r="I70" s="20">
        <v>2</v>
      </c>
      <c r="J70" s="21">
        <v>1.5</v>
      </c>
      <c r="K70" s="22">
        <v>21</v>
      </c>
      <c r="L70" s="23">
        <v>0.667</v>
      </c>
      <c r="M70" s="24">
        <f>IF(MAX(0,ROUNDUP(F70*2-I70,0))=0,"",MAX(0,ROUNDUP(F70*2-I70,0)))</f>
        <v>6</v>
      </c>
    </row>
    <row r="71" spans="1:13" x14ac:dyDescent="0.25">
      <c r="A71" s="16" t="s">
        <v>147</v>
      </c>
      <c r="B71" s="16" t="s">
        <v>148</v>
      </c>
      <c r="C71" s="17">
        <v>23</v>
      </c>
      <c r="D71" s="17" t="s">
        <v>1</v>
      </c>
      <c r="E71" s="18">
        <v>23</v>
      </c>
      <c r="F71" s="17">
        <v>17</v>
      </c>
      <c r="G71" s="19">
        <v>8</v>
      </c>
      <c r="H71" s="17">
        <v>9</v>
      </c>
      <c r="I71" s="20">
        <v>6</v>
      </c>
      <c r="J71" s="21">
        <v>1.353</v>
      </c>
      <c r="K71" s="22">
        <v>18.9</v>
      </c>
      <c r="L71" s="23">
        <v>0.739</v>
      </c>
      <c r="M71" s="24">
        <f>IF(MAX(0,ROUNDUP(F71*2-I71,0))=0,"",MAX(0,ROUNDUP(F71*2-I71,0)))</f>
        <v>28</v>
      </c>
    </row>
    <row r="72" spans="1:13" x14ac:dyDescent="0.25">
      <c r="A72" s="16" t="s">
        <v>149</v>
      </c>
      <c r="B72" s="16" t="s">
        <v>150</v>
      </c>
      <c r="C72" s="17">
        <v>5</v>
      </c>
      <c r="D72" s="17">
        <v>3</v>
      </c>
      <c r="E72" s="18">
        <v>8</v>
      </c>
      <c r="F72" s="17">
        <v>8</v>
      </c>
      <c r="G72" s="19">
        <v>8</v>
      </c>
      <c r="H72" s="17" t="s">
        <v>1</v>
      </c>
      <c r="I72" s="20">
        <v>0</v>
      </c>
      <c r="J72" s="21">
        <v>1</v>
      </c>
      <c r="K72" s="22">
        <v>14</v>
      </c>
      <c r="L72" s="23">
        <v>1</v>
      </c>
      <c r="M72" s="24">
        <f>IF(MAX(0,ROUNDUP(F72*2-I72,0))=0,"",MAX(0,ROUNDUP(F72*2-I72,0)))</f>
        <v>16</v>
      </c>
    </row>
    <row r="73" spans="1:13" x14ac:dyDescent="0.25">
      <c r="A73" s="16" t="s">
        <v>151</v>
      </c>
      <c r="B73" s="16" t="s">
        <v>152</v>
      </c>
      <c r="C73" s="17">
        <v>3</v>
      </c>
      <c r="D73" s="17">
        <v>11</v>
      </c>
      <c r="E73" s="18">
        <v>14</v>
      </c>
      <c r="F73" s="17">
        <v>10</v>
      </c>
      <c r="G73" s="19">
        <v>10</v>
      </c>
      <c r="H73" s="17" t="s">
        <v>1</v>
      </c>
      <c r="I73" s="20">
        <v>4</v>
      </c>
      <c r="J73" s="21">
        <v>1.4</v>
      </c>
      <c r="K73" s="22">
        <v>19.6</v>
      </c>
      <c r="L73" s="23">
        <v>0.714</v>
      </c>
      <c r="M73" s="24">
        <f>IF(MAX(0,ROUNDUP(F73*2-I73,0))=0,"",MAX(0,ROUNDUP(F73*2-I73,0)))</f>
        <v>16</v>
      </c>
    </row>
    <row r="74" spans="1:13" x14ac:dyDescent="0.25">
      <c r="A74" s="16" t="s">
        <v>153</v>
      </c>
      <c r="B74" s="16" t="s">
        <v>154</v>
      </c>
      <c r="C74" s="17">
        <v>4</v>
      </c>
      <c r="D74" s="17">
        <v>2</v>
      </c>
      <c r="E74" s="18">
        <v>6</v>
      </c>
      <c r="F74" s="17">
        <v>4</v>
      </c>
      <c r="G74" s="19">
        <v>2</v>
      </c>
      <c r="H74" s="17">
        <v>2</v>
      </c>
      <c r="I74" s="20">
        <v>2</v>
      </c>
      <c r="J74" s="21">
        <v>1.5</v>
      </c>
      <c r="K74" s="22">
        <v>21</v>
      </c>
      <c r="L74" s="23">
        <v>0.667</v>
      </c>
      <c r="M74" s="24">
        <f>IF(MAX(0,ROUNDUP(F74*2-I74,0))=0,"",MAX(0,ROUNDUP(F74*2-I74,0)))</f>
        <v>6</v>
      </c>
    </row>
    <row r="75" spans="1:13" x14ac:dyDescent="0.25">
      <c r="A75" s="16" t="s">
        <v>155</v>
      </c>
      <c r="B75" s="16" t="s">
        <v>156</v>
      </c>
      <c r="C75" s="17">
        <v>2</v>
      </c>
      <c r="D75" s="17" t="s">
        <v>1</v>
      </c>
      <c r="E75" s="18">
        <v>2</v>
      </c>
      <c r="F75" s="17">
        <v>2</v>
      </c>
      <c r="G75" s="19">
        <v>1</v>
      </c>
      <c r="H75" s="17">
        <v>1</v>
      </c>
      <c r="I75" s="20">
        <v>0</v>
      </c>
      <c r="J75" s="21">
        <v>1</v>
      </c>
      <c r="K75" s="22">
        <v>14</v>
      </c>
      <c r="L75" s="23">
        <v>1</v>
      </c>
      <c r="M75" s="24">
        <f>IF(MAX(0,ROUNDUP(F75*2-I75,0))=0,"",MAX(0,ROUNDUP(F75*2-I75,0)))</f>
        <v>4</v>
      </c>
    </row>
    <row r="76" spans="1:13" x14ac:dyDescent="0.25">
      <c r="A76" s="16" t="s">
        <v>157</v>
      </c>
      <c r="B76" s="16" t="s">
        <v>158</v>
      </c>
      <c r="C76" s="17">
        <v>2</v>
      </c>
      <c r="D76" s="17">
        <v>5</v>
      </c>
      <c r="E76" s="18">
        <v>7</v>
      </c>
      <c r="F76" s="17">
        <v>5</v>
      </c>
      <c r="G76" s="19">
        <v>3</v>
      </c>
      <c r="H76" s="17">
        <v>2</v>
      </c>
      <c r="I76" s="20">
        <v>2</v>
      </c>
      <c r="J76" s="21">
        <v>1.4</v>
      </c>
      <c r="K76" s="22">
        <v>19.6</v>
      </c>
      <c r="L76" s="23">
        <v>0.714</v>
      </c>
      <c r="M76" s="24">
        <f>IF(MAX(0,ROUNDUP(F76*2-I76,0))=0,"",MAX(0,ROUNDUP(F76*2-I76,0)))</f>
        <v>8</v>
      </c>
    </row>
    <row r="77" spans="1:13" x14ac:dyDescent="0.25">
      <c r="A77" s="16" t="s">
        <v>159</v>
      </c>
      <c r="B77" s="16" t="s">
        <v>160</v>
      </c>
      <c r="C77" s="17">
        <v>2</v>
      </c>
      <c r="D77" s="17">
        <v>13</v>
      </c>
      <c r="E77" s="18">
        <v>15</v>
      </c>
      <c r="F77" s="17">
        <v>13</v>
      </c>
      <c r="G77" s="19">
        <v>8</v>
      </c>
      <c r="H77" s="17">
        <v>5</v>
      </c>
      <c r="I77" s="20">
        <v>2</v>
      </c>
      <c r="J77" s="21">
        <v>1.154</v>
      </c>
      <c r="K77" s="22">
        <v>16.2</v>
      </c>
      <c r="L77" s="23">
        <v>0.867</v>
      </c>
      <c r="M77" s="24">
        <f>IF(MAX(0,ROUNDUP(F77*2-I77,0))=0,"",MAX(0,ROUNDUP(F77*2-I77,0)))</f>
        <v>24</v>
      </c>
    </row>
    <row r="78" spans="1:13" x14ac:dyDescent="0.25">
      <c r="A78" s="16" t="s">
        <v>161</v>
      </c>
      <c r="B78" s="16" t="s">
        <v>162</v>
      </c>
      <c r="C78" s="17">
        <v>7</v>
      </c>
      <c r="D78" s="17" t="s">
        <v>1</v>
      </c>
      <c r="E78" s="18">
        <v>7</v>
      </c>
      <c r="F78" s="17">
        <v>5</v>
      </c>
      <c r="G78" s="19">
        <v>1</v>
      </c>
      <c r="H78" s="17">
        <v>3</v>
      </c>
      <c r="I78" s="20">
        <v>2</v>
      </c>
      <c r="J78" s="21">
        <v>1.4</v>
      </c>
      <c r="K78" s="22">
        <v>19.6</v>
      </c>
      <c r="L78" s="23">
        <v>0.714</v>
      </c>
      <c r="M78" s="24">
        <f>IF(MAX(0,ROUNDUP(F78*2-I78,0))=0,"",MAX(0,ROUNDUP(F78*2-I78,0)))</f>
        <v>8</v>
      </c>
    </row>
    <row r="79" spans="1:13" x14ac:dyDescent="0.25">
      <c r="A79" s="16" t="s">
        <v>163</v>
      </c>
      <c r="B79" s="16" t="s">
        <v>164</v>
      </c>
      <c r="C79" s="17">
        <v>2</v>
      </c>
      <c r="D79" s="17" t="s">
        <v>1</v>
      </c>
      <c r="E79" s="18">
        <v>2</v>
      </c>
      <c r="F79" s="17">
        <v>2</v>
      </c>
      <c r="G79" s="19">
        <v>2</v>
      </c>
      <c r="H79" s="17" t="s">
        <v>1</v>
      </c>
      <c r="I79" s="20">
        <v>0</v>
      </c>
      <c r="J79" s="21">
        <v>1</v>
      </c>
      <c r="K79" s="22">
        <v>14</v>
      </c>
      <c r="L79" s="23">
        <v>1</v>
      </c>
      <c r="M79" s="24">
        <f>IF(MAX(0,ROUNDUP(F79*2-I79,0))=0,"",MAX(0,ROUNDUP(F79*2-I79,0)))</f>
        <v>4</v>
      </c>
    </row>
    <row r="80" spans="1:13" x14ac:dyDescent="0.25">
      <c r="A80" s="16" t="s">
        <v>165</v>
      </c>
      <c r="B80" s="16" t="s">
        <v>166</v>
      </c>
      <c r="C80" s="17">
        <v>1</v>
      </c>
      <c r="D80" s="17" t="s">
        <v>1</v>
      </c>
      <c r="E80" s="18">
        <v>1</v>
      </c>
      <c r="F80" s="17">
        <v>1</v>
      </c>
      <c r="G80" s="19">
        <v>1</v>
      </c>
      <c r="H80" s="17" t="s">
        <v>1</v>
      </c>
      <c r="I80" s="20">
        <v>0</v>
      </c>
      <c r="J80" s="21">
        <v>1</v>
      </c>
      <c r="K80" s="22">
        <v>14</v>
      </c>
      <c r="L80" s="23">
        <v>1</v>
      </c>
      <c r="M80" s="24">
        <f>IF(MAX(0,ROUNDUP(F80*2-I80,0))=0,"",MAX(0,ROUNDUP(F80*2-I80,0)))</f>
        <v>2</v>
      </c>
    </row>
    <row r="81" spans="1:13" x14ac:dyDescent="0.25">
      <c r="A81" s="16" t="s">
        <v>167</v>
      </c>
      <c r="B81" s="16" t="s">
        <v>168</v>
      </c>
      <c r="C81" s="17">
        <v>1</v>
      </c>
      <c r="D81" s="17" t="s">
        <v>1</v>
      </c>
      <c r="E81" s="18">
        <v>1</v>
      </c>
      <c r="F81" s="17">
        <v>1</v>
      </c>
      <c r="G81" s="19">
        <v>1</v>
      </c>
      <c r="H81" s="17" t="s">
        <v>1</v>
      </c>
      <c r="I81" s="20">
        <v>0</v>
      </c>
      <c r="J81" s="21">
        <v>1</v>
      </c>
      <c r="K81" s="22">
        <v>14</v>
      </c>
      <c r="L81" s="23">
        <v>1</v>
      </c>
      <c r="M81" s="24">
        <f>IF(MAX(0,ROUNDUP(F81*2-I81,0))=0,"",MAX(0,ROUNDUP(F81*2-I81,0)))</f>
        <v>2</v>
      </c>
    </row>
    <row r="82" spans="1:13" x14ac:dyDescent="0.25">
      <c r="A82" s="16" t="s">
        <v>169</v>
      </c>
      <c r="B82" s="16" t="s">
        <v>170</v>
      </c>
      <c r="C82" s="17">
        <v>1</v>
      </c>
      <c r="D82" s="17" t="s">
        <v>1</v>
      </c>
      <c r="E82" s="18">
        <v>1</v>
      </c>
      <c r="F82" s="17">
        <v>1</v>
      </c>
      <c r="G82" s="19">
        <v>1</v>
      </c>
      <c r="H82" s="17" t="s">
        <v>1</v>
      </c>
      <c r="I82" s="20">
        <v>0</v>
      </c>
      <c r="J82" s="21">
        <v>1</v>
      </c>
      <c r="K82" s="22">
        <v>14</v>
      </c>
      <c r="L82" s="23">
        <v>1</v>
      </c>
      <c r="M82" s="24">
        <f>IF(MAX(0,ROUNDUP(F82*2-I82,0))=0,"",MAX(0,ROUNDUP(F82*2-I82,0)))</f>
        <v>2</v>
      </c>
    </row>
    <row r="83" spans="1:13" x14ac:dyDescent="0.25">
      <c r="A83" s="16" t="s">
        <v>171</v>
      </c>
      <c r="B83" s="16" t="s">
        <v>172</v>
      </c>
      <c r="C83" s="17">
        <v>1</v>
      </c>
      <c r="D83" s="17">
        <v>5</v>
      </c>
      <c r="E83" s="18">
        <v>6</v>
      </c>
      <c r="F83" s="17">
        <v>5</v>
      </c>
      <c r="G83" s="19">
        <v>5</v>
      </c>
      <c r="H83" s="17" t="s">
        <v>1</v>
      </c>
      <c r="I83" s="20">
        <v>1</v>
      </c>
      <c r="J83" s="21">
        <v>1.2</v>
      </c>
      <c r="K83" s="22">
        <v>16.8</v>
      </c>
      <c r="L83" s="23">
        <v>0.833</v>
      </c>
      <c r="M83" s="24">
        <f>IF(MAX(0,ROUNDUP(F83*2-I83,0))=0,"",MAX(0,ROUNDUP(F83*2-I83,0)))</f>
        <v>9</v>
      </c>
    </row>
    <row r="84" spans="1:13" x14ac:dyDescent="0.25">
      <c r="A84" s="16" t="s">
        <v>173</v>
      </c>
      <c r="B84" s="16" t="s">
        <v>174</v>
      </c>
      <c r="C84" s="17">
        <v>1</v>
      </c>
      <c r="D84" s="17">
        <v>1</v>
      </c>
      <c r="E84" s="18">
        <v>2</v>
      </c>
      <c r="F84" s="17">
        <v>1</v>
      </c>
      <c r="G84" s="19">
        <v>1</v>
      </c>
      <c r="H84" s="17" t="s">
        <v>1</v>
      </c>
      <c r="I84" s="20">
        <v>1</v>
      </c>
      <c r="J84" s="21">
        <v>2</v>
      </c>
      <c r="K84" s="22">
        <v>28</v>
      </c>
      <c r="L84" s="23">
        <v>0.5</v>
      </c>
      <c r="M84" s="24">
        <f>IF(MAX(0,ROUNDUP(F84*2-I84,0))=0,"",MAX(0,ROUNDUP(F84*2-I84,0)))</f>
        <v>1</v>
      </c>
    </row>
    <row r="85" spans="1:13" x14ac:dyDescent="0.25">
      <c r="A85" s="16" t="s">
        <v>175</v>
      </c>
      <c r="B85" s="16" t="s">
        <v>176</v>
      </c>
      <c r="C85" s="17">
        <v>7</v>
      </c>
      <c r="D85" s="17">
        <v>50</v>
      </c>
      <c r="E85" s="18">
        <v>57</v>
      </c>
      <c r="F85" s="17">
        <v>44</v>
      </c>
      <c r="G85" s="19">
        <v>42</v>
      </c>
      <c r="H85" s="17" t="s">
        <v>1</v>
      </c>
      <c r="I85" s="20">
        <v>13</v>
      </c>
      <c r="J85" s="21">
        <v>1.295</v>
      </c>
      <c r="K85" s="22">
        <v>18.1</v>
      </c>
      <c r="L85" s="23">
        <v>0.772</v>
      </c>
      <c r="M85" s="24">
        <f>IF(MAX(0,ROUNDUP(F85*2-I85,0))=0,"",MAX(0,ROUNDUP(F85*2-I85,0)))</f>
        <v>75</v>
      </c>
    </row>
    <row r="86" spans="1:13" x14ac:dyDescent="0.25">
      <c r="A86" s="16" t="s">
        <v>177</v>
      </c>
      <c r="B86" s="16" t="s">
        <v>178</v>
      </c>
      <c r="C86" s="17">
        <v>3</v>
      </c>
      <c r="D86" s="17">
        <v>3</v>
      </c>
      <c r="E86" s="18">
        <v>6</v>
      </c>
      <c r="F86" s="17">
        <v>5</v>
      </c>
      <c r="G86" s="19">
        <v>4</v>
      </c>
      <c r="H86" s="17" t="s">
        <v>1</v>
      </c>
      <c r="I86" s="20">
        <v>1</v>
      </c>
      <c r="J86" s="21">
        <v>1.2</v>
      </c>
      <c r="K86" s="22">
        <v>16.8</v>
      </c>
      <c r="L86" s="23">
        <v>0.833</v>
      </c>
      <c r="M86" s="24">
        <f>IF(MAX(0,ROUNDUP(F86*2-I86,0))=0,"",MAX(0,ROUNDUP(F86*2-I86,0)))</f>
        <v>9</v>
      </c>
    </row>
    <row r="87" spans="1:13" x14ac:dyDescent="0.25">
      <c r="A87" s="16" t="s">
        <v>179</v>
      </c>
      <c r="B87" s="16" t="s">
        <v>180</v>
      </c>
      <c r="C87" s="17" t="s">
        <v>1</v>
      </c>
      <c r="D87" s="17">
        <v>2</v>
      </c>
      <c r="E87" s="18">
        <v>2</v>
      </c>
      <c r="F87" s="17">
        <v>2</v>
      </c>
      <c r="G87" s="19">
        <v>1</v>
      </c>
      <c r="H87" s="17">
        <v>1</v>
      </c>
      <c r="I87" s="20">
        <v>0</v>
      </c>
      <c r="J87" s="21">
        <v>1</v>
      </c>
      <c r="K87" s="22">
        <v>14</v>
      </c>
      <c r="L87" s="23">
        <v>1</v>
      </c>
      <c r="M87" s="24">
        <f>IF(MAX(0,ROUNDUP(F87*2-I87,0))=0,"",MAX(0,ROUNDUP(F87*2-I87,0)))</f>
        <v>4</v>
      </c>
    </row>
    <row r="88" spans="1:13" x14ac:dyDescent="0.25">
      <c r="A88" s="16" t="s">
        <v>181</v>
      </c>
      <c r="B88" s="16" t="s">
        <v>182</v>
      </c>
      <c r="C88" s="17">
        <v>2</v>
      </c>
      <c r="D88" s="17" t="s">
        <v>1</v>
      </c>
      <c r="E88" s="18">
        <v>2</v>
      </c>
      <c r="F88" s="17">
        <v>2</v>
      </c>
      <c r="G88" s="19" t="s">
        <v>1</v>
      </c>
      <c r="H88" s="17">
        <v>2</v>
      </c>
      <c r="I88" s="20">
        <v>0</v>
      </c>
      <c r="J88" s="21">
        <v>1</v>
      </c>
      <c r="K88" s="22">
        <v>14</v>
      </c>
      <c r="L88" s="23">
        <v>1</v>
      </c>
      <c r="M88" s="24">
        <f>IF(MAX(0,ROUNDUP(F88*2-I88,0))=0,"",MAX(0,ROUNDUP(F88*2-I88,0)))</f>
        <v>4</v>
      </c>
    </row>
    <row r="89" spans="1:13" x14ac:dyDescent="0.25">
      <c r="A89" s="16" t="s">
        <v>183</v>
      </c>
      <c r="B89" s="16" t="s">
        <v>184</v>
      </c>
      <c r="C89" s="17">
        <v>2</v>
      </c>
      <c r="D89" s="17">
        <v>1</v>
      </c>
      <c r="E89" s="18">
        <v>3</v>
      </c>
      <c r="F89" s="17">
        <v>2</v>
      </c>
      <c r="G89" s="19">
        <v>1</v>
      </c>
      <c r="H89" s="17">
        <v>1</v>
      </c>
      <c r="I89" s="20">
        <v>1</v>
      </c>
      <c r="J89" s="21">
        <v>1.5</v>
      </c>
      <c r="K89" s="22">
        <v>21</v>
      </c>
      <c r="L89" s="23">
        <v>0.667</v>
      </c>
      <c r="M89" s="24">
        <f>IF(MAX(0,ROUNDUP(F89*2-I89,0))=0,"",MAX(0,ROUNDUP(F89*2-I89,0)))</f>
        <v>3</v>
      </c>
    </row>
    <row r="90" spans="1:13" x14ac:dyDescent="0.25">
      <c r="A90" s="16" t="s">
        <v>185</v>
      </c>
      <c r="B90" s="16" t="s">
        <v>186</v>
      </c>
      <c r="C90" s="17" t="s">
        <v>1</v>
      </c>
      <c r="D90" s="17">
        <v>3</v>
      </c>
      <c r="E90" s="18">
        <v>3</v>
      </c>
      <c r="F90" s="17">
        <v>3</v>
      </c>
      <c r="G90" s="19">
        <v>3</v>
      </c>
      <c r="H90" s="17" t="s">
        <v>1</v>
      </c>
      <c r="I90" s="20">
        <v>0</v>
      </c>
      <c r="J90" s="21">
        <v>1</v>
      </c>
      <c r="K90" s="22">
        <v>14</v>
      </c>
      <c r="L90" s="23">
        <v>1</v>
      </c>
      <c r="M90" s="24">
        <f>IF(MAX(0,ROUNDUP(F90*2-I90,0))=0,"",MAX(0,ROUNDUP(F90*2-I90,0)))</f>
        <v>6</v>
      </c>
    </row>
    <row r="91" spans="1:13" x14ac:dyDescent="0.25">
      <c r="A91" s="16" t="s">
        <v>187</v>
      </c>
      <c r="B91" s="16" t="s">
        <v>188</v>
      </c>
      <c r="C91" s="17">
        <v>2</v>
      </c>
      <c r="D91" s="17" t="s">
        <v>1</v>
      </c>
      <c r="E91" s="18">
        <v>2</v>
      </c>
      <c r="F91" s="17">
        <v>1</v>
      </c>
      <c r="G91" s="19">
        <v>1</v>
      </c>
      <c r="H91" s="17" t="s">
        <v>1</v>
      </c>
      <c r="I91" s="20">
        <v>1</v>
      </c>
      <c r="J91" s="21">
        <v>2</v>
      </c>
      <c r="K91" s="22">
        <v>28</v>
      </c>
      <c r="L91" s="23">
        <v>0.5</v>
      </c>
      <c r="M91" s="24">
        <f>IF(MAX(0,ROUNDUP(F91*2-I91,0))=0,"",MAX(0,ROUNDUP(F91*2-I91,0)))</f>
        <v>1</v>
      </c>
    </row>
    <row r="92" spans="1:13" x14ac:dyDescent="0.25">
      <c r="A92" s="16" t="s">
        <v>189</v>
      </c>
      <c r="B92" s="16" t="s">
        <v>190</v>
      </c>
      <c r="C92" s="17">
        <v>2</v>
      </c>
      <c r="D92" s="17">
        <v>3</v>
      </c>
      <c r="E92" s="18">
        <v>5</v>
      </c>
      <c r="F92" s="17">
        <v>3</v>
      </c>
      <c r="G92" s="19">
        <v>3</v>
      </c>
      <c r="H92" s="17" t="s">
        <v>1</v>
      </c>
      <c r="I92" s="20">
        <v>2</v>
      </c>
      <c r="J92" s="21">
        <v>1.667</v>
      </c>
      <c r="K92" s="22">
        <v>23.3</v>
      </c>
      <c r="L92" s="23">
        <v>0.6</v>
      </c>
      <c r="M92" s="24">
        <f>IF(MAX(0,ROUNDUP(F92*2-I92,0))=0,"",MAX(0,ROUNDUP(F92*2-I92,0)))</f>
        <v>4</v>
      </c>
    </row>
    <row r="93" spans="1:13" x14ac:dyDescent="0.25">
      <c r="A93" s="16" t="s">
        <v>191</v>
      </c>
      <c r="B93" s="16" t="s">
        <v>192</v>
      </c>
      <c r="C93" s="17">
        <v>2</v>
      </c>
      <c r="D93" s="17">
        <v>2</v>
      </c>
      <c r="E93" s="18">
        <v>4</v>
      </c>
      <c r="F93" s="17">
        <v>2</v>
      </c>
      <c r="G93" s="19">
        <v>2</v>
      </c>
      <c r="H93" s="17" t="s">
        <v>1</v>
      </c>
      <c r="I93" s="20">
        <v>2</v>
      </c>
      <c r="J93" s="21">
        <v>2</v>
      </c>
      <c r="K93" s="22">
        <v>28</v>
      </c>
      <c r="L93" s="23">
        <v>0.5</v>
      </c>
      <c r="M93" s="24">
        <f>IF(MAX(0,ROUNDUP(F93*2-I93,0))=0,"",MAX(0,ROUNDUP(F93*2-I93,0)))</f>
        <v>2</v>
      </c>
    </row>
    <row r="94" spans="1:13" x14ac:dyDescent="0.25">
      <c r="A94" s="16" t="s">
        <v>193</v>
      </c>
      <c r="B94" s="16" t="s">
        <v>194</v>
      </c>
      <c r="C94" s="17">
        <v>3</v>
      </c>
      <c r="D94" s="17" t="s">
        <v>1</v>
      </c>
      <c r="E94" s="18">
        <v>3</v>
      </c>
      <c r="F94" s="17">
        <v>3</v>
      </c>
      <c r="G94" s="19">
        <v>3</v>
      </c>
      <c r="H94" s="17" t="s">
        <v>1</v>
      </c>
      <c r="I94" s="20">
        <v>0</v>
      </c>
      <c r="J94" s="21">
        <v>1</v>
      </c>
      <c r="K94" s="22">
        <v>14</v>
      </c>
      <c r="L94" s="23">
        <v>1</v>
      </c>
      <c r="M94" s="24">
        <f>IF(MAX(0,ROUNDUP(F94*2-I94,0))=0,"",MAX(0,ROUNDUP(F94*2-I94,0)))</f>
        <v>6</v>
      </c>
    </row>
    <row r="95" spans="1:13" x14ac:dyDescent="0.25">
      <c r="A95" s="16" t="s">
        <v>195</v>
      </c>
      <c r="B95" s="16" t="s">
        <v>196</v>
      </c>
      <c r="C95" s="17">
        <v>2</v>
      </c>
      <c r="D95" s="17" t="s">
        <v>1</v>
      </c>
      <c r="E95" s="18">
        <v>2</v>
      </c>
      <c r="F95" s="17">
        <v>2</v>
      </c>
      <c r="G95" s="19">
        <v>2</v>
      </c>
      <c r="H95" s="17" t="s">
        <v>1</v>
      </c>
      <c r="I95" s="20">
        <v>0</v>
      </c>
      <c r="J95" s="21">
        <v>1</v>
      </c>
      <c r="K95" s="22">
        <v>14</v>
      </c>
      <c r="L95" s="23">
        <v>1</v>
      </c>
      <c r="M95" s="24">
        <f>IF(MAX(0,ROUNDUP(F95*2-I95,0))=0,"",MAX(0,ROUNDUP(F95*2-I95,0)))</f>
        <v>4</v>
      </c>
    </row>
    <row r="96" spans="1:13" x14ac:dyDescent="0.25">
      <c r="A96" s="16" t="s">
        <v>197</v>
      </c>
      <c r="B96" s="16" t="s">
        <v>198</v>
      </c>
      <c r="C96" s="17" t="s">
        <v>1</v>
      </c>
      <c r="D96" s="17">
        <v>2</v>
      </c>
      <c r="E96" s="18">
        <v>2</v>
      </c>
      <c r="F96" s="17">
        <v>1</v>
      </c>
      <c r="G96" s="19">
        <v>1</v>
      </c>
      <c r="H96" s="17" t="s">
        <v>1</v>
      </c>
      <c r="I96" s="20">
        <v>1</v>
      </c>
      <c r="J96" s="21">
        <v>2</v>
      </c>
      <c r="K96" s="22">
        <v>28</v>
      </c>
      <c r="L96" s="23">
        <v>0.5</v>
      </c>
      <c r="M96" s="24">
        <f>IF(MAX(0,ROUNDUP(F96*2-I96,0))=0,"",MAX(0,ROUNDUP(F96*2-I96,0)))</f>
        <v>1</v>
      </c>
    </row>
    <row r="97" spans="1:13" x14ac:dyDescent="0.25">
      <c r="A97" s="16" t="s">
        <v>199</v>
      </c>
      <c r="B97" s="16" t="s">
        <v>200</v>
      </c>
      <c r="C97" s="17">
        <v>1</v>
      </c>
      <c r="D97" s="17">
        <v>1</v>
      </c>
      <c r="E97" s="18">
        <v>2</v>
      </c>
      <c r="F97" s="17">
        <v>1</v>
      </c>
      <c r="G97" s="19">
        <v>1</v>
      </c>
      <c r="H97" s="17" t="s">
        <v>1</v>
      </c>
      <c r="I97" s="20">
        <v>1</v>
      </c>
      <c r="J97" s="21">
        <v>2</v>
      </c>
      <c r="K97" s="22">
        <v>28</v>
      </c>
      <c r="L97" s="23">
        <v>0.5</v>
      </c>
      <c r="M97" s="24">
        <f>IF(MAX(0,ROUNDUP(F97*2-I97,0))=0,"",MAX(0,ROUNDUP(F97*2-I97,0)))</f>
        <v>1</v>
      </c>
    </row>
    <row r="98" spans="1:13" x14ac:dyDescent="0.25">
      <c r="A98" s="16" t="s">
        <v>201</v>
      </c>
      <c r="B98" s="16" t="s">
        <v>202</v>
      </c>
      <c r="C98" s="17">
        <v>2</v>
      </c>
      <c r="D98" s="17" t="s">
        <v>1</v>
      </c>
      <c r="E98" s="18">
        <v>2</v>
      </c>
      <c r="F98" s="17">
        <v>1</v>
      </c>
      <c r="G98" s="19">
        <v>1</v>
      </c>
      <c r="H98" s="17" t="s">
        <v>1</v>
      </c>
      <c r="I98" s="20">
        <v>1</v>
      </c>
      <c r="J98" s="21">
        <v>2</v>
      </c>
      <c r="K98" s="22">
        <v>28</v>
      </c>
      <c r="L98" s="23">
        <v>0.5</v>
      </c>
      <c r="M98" s="24">
        <f>IF(MAX(0,ROUNDUP(F98*2-I98,0))=0,"",MAX(0,ROUNDUP(F98*2-I98,0)))</f>
        <v>1</v>
      </c>
    </row>
    <row r="99" spans="1:13" x14ac:dyDescent="0.25">
      <c r="A99" s="16" t="s">
        <v>203</v>
      </c>
      <c r="B99" s="16" t="s">
        <v>204</v>
      </c>
      <c r="C99" s="17">
        <v>2</v>
      </c>
      <c r="D99" s="17" t="s">
        <v>1</v>
      </c>
      <c r="E99" s="18">
        <v>2</v>
      </c>
      <c r="F99" s="17">
        <v>1</v>
      </c>
      <c r="G99" s="19">
        <v>1</v>
      </c>
      <c r="H99" s="17" t="s">
        <v>1</v>
      </c>
      <c r="I99" s="20">
        <v>1</v>
      </c>
      <c r="J99" s="21">
        <v>2</v>
      </c>
      <c r="K99" s="22">
        <v>28</v>
      </c>
      <c r="L99" s="23">
        <v>0.5</v>
      </c>
      <c r="M99" s="24">
        <f>IF(MAX(0,ROUNDUP(F99*2-I99,0))=0,"",MAX(0,ROUNDUP(F99*2-I99,0)))</f>
        <v>1</v>
      </c>
    </row>
    <row r="100" spans="1:13" x14ac:dyDescent="0.25">
      <c r="A100" s="16" t="s">
        <v>205</v>
      </c>
      <c r="B100" s="16" t="s">
        <v>206</v>
      </c>
      <c r="C100" s="17">
        <v>1</v>
      </c>
      <c r="D100" s="17" t="s">
        <v>1</v>
      </c>
      <c r="E100" s="18">
        <v>1</v>
      </c>
      <c r="F100" s="17">
        <v>1</v>
      </c>
      <c r="G100" s="19">
        <v>1</v>
      </c>
      <c r="H100" s="17" t="s">
        <v>1</v>
      </c>
      <c r="I100" s="20">
        <v>0</v>
      </c>
      <c r="J100" s="21">
        <v>1</v>
      </c>
      <c r="K100" s="22">
        <v>14</v>
      </c>
      <c r="L100" s="23">
        <v>1</v>
      </c>
      <c r="M100" s="24">
        <f>IF(MAX(0,ROUNDUP(F100*2-I100,0))=0,"",MAX(0,ROUNDUP(F100*2-I100,0)))</f>
        <v>2</v>
      </c>
    </row>
    <row r="101" spans="1:13" x14ac:dyDescent="0.25">
      <c r="A101" s="16" t="s">
        <v>207</v>
      </c>
      <c r="B101" s="16" t="s">
        <v>208</v>
      </c>
      <c r="C101" s="17">
        <v>1</v>
      </c>
      <c r="D101" s="17">
        <v>1</v>
      </c>
      <c r="E101" s="18">
        <v>2</v>
      </c>
      <c r="F101" s="17">
        <v>1</v>
      </c>
      <c r="G101" s="19">
        <v>1</v>
      </c>
      <c r="H101" s="17" t="s">
        <v>1</v>
      </c>
      <c r="I101" s="20">
        <v>1</v>
      </c>
      <c r="J101" s="21">
        <v>2</v>
      </c>
      <c r="K101" s="22">
        <v>28</v>
      </c>
      <c r="L101" s="23">
        <v>0.5</v>
      </c>
      <c r="M101" s="24">
        <f>IF(MAX(0,ROUNDUP(F101*2-I101,0))=0,"",MAX(0,ROUNDUP(F101*2-I101,0)))</f>
        <v>1</v>
      </c>
    </row>
    <row r="102" spans="1:13" x14ac:dyDescent="0.25">
      <c r="A102" s="16" t="s">
        <v>209</v>
      </c>
      <c r="B102" s="16" t="s">
        <v>210</v>
      </c>
      <c r="C102" s="17">
        <v>1</v>
      </c>
      <c r="D102" s="17" t="s">
        <v>1</v>
      </c>
      <c r="E102" s="18">
        <v>1</v>
      </c>
      <c r="F102" s="17">
        <v>1</v>
      </c>
      <c r="G102" s="19">
        <v>1</v>
      </c>
      <c r="H102" s="17" t="s">
        <v>1</v>
      </c>
      <c r="I102" s="20">
        <v>0</v>
      </c>
      <c r="J102" s="21">
        <v>1</v>
      </c>
      <c r="K102" s="22">
        <v>14</v>
      </c>
      <c r="L102" s="23">
        <v>1</v>
      </c>
      <c r="M102" s="24">
        <f>IF(MAX(0,ROUNDUP(F102*2-I102,0))=0,"",MAX(0,ROUNDUP(F102*2-I102,0)))</f>
        <v>2</v>
      </c>
    </row>
    <row r="103" spans="1:13" x14ac:dyDescent="0.25">
      <c r="A103" s="16" t="s">
        <v>211</v>
      </c>
      <c r="B103" s="16" t="s">
        <v>212</v>
      </c>
      <c r="C103" s="17">
        <v>1</v>
      </c>
      <c r="D103" s="17" t="s">
        <v>1</v>
      </c>
      <c r="E103" s="18">
        <v>1</v>
      </c>
      <c r="F103" s="17">
        <v>1</v>
      </c>
      <c r="G103" s="19">
        <v>1</v>
      </c>
      <c r="H103" s="17" t="s">
        <v>1</v>
      </c>
      <c r="I103" s="20">
        <v>0</v>
      </c>
      <c r="J103" s="21">
        <v>1</v>
      </c>
      <c r="K103" s="22">
        <v>14</v>
      </c>
      <c r="L103" s="23">
        <v>1</v>
      </c>
      <c r="M103" s="24">
        <f>IF(MAX(0,ROUNDUP(F103*2-I103,0))=0,"",MAX(0,ROUNDUP(F103*2-I103,0)))</f>
        <v>2</v>
      </c>
    </row>
    <row r="104" spans="1:13" x14ac:dyDescent="0.25">
      <c r="A104" s="16" t="s">
        <v>213</v>
      </c>
      <c r="B104" s="16" t="s">
        <v>214</v>
      </c>
      <c r="C104" s="17">
        <v>1</v>
      </c>
      <c r="D104" s="17" t="s">
        <v>1</v>
      </c>
      <c r="E104" s="18">
        <v>1</v>
      </c>
      <c r="F104" s="17">
        <v>1</v>
      </c>
      <c r="G104" s="19">
        <v>1</v>
      </c>
      <c r="H104" s="17" t="s">
        <v>1</v>
      </c>
      <c r="I104" s="20">
        <v>0</v>
      </c>
      <c r="J104" s="21">
        <v>1</v>
      </c>
      <c r="K104" s="22">
        <v>14</v>
      </c>
      <c r="L104" s="23">
        <v>1</v>
      </c>
      <c r="M104" s="24">
        <f>IF(MAX(0,ROUNDUP(F104*2-I104,0))=0,"",MAX(0,ROUNDUP(F104*2-I104,0)))</f>
        <v>2</v>
      </c>
    </row>
    <row r="105" spans="1:13" x14ac:dyDescent="0.25">
      <c r="A105" s="16" t="s">
        <v>215</v>
      </c>
      <c r="B105" s="16" t="s">
        <v>216</v>
      </c>
      <c r="C105" s="17">
        <v>1</v>
      </c>
      <c r="D105" s="17">
        <v>1</v>
      </c>
      <c r="E105" s="18">
        <v>2</v>
      </c>
      <c r="F105" s="17">
        <v>1</v>
      </c>
      <c r="G105" s="19">
        <v>1</v>
      </c>
      <c r="H105" s="17" t="s">
        <v>1</v>
      </c>
      <c r="I105" s="20">
        <v>1</v>
      </c>
      <c r="J105" s="21">
        <v>2</v>
      </c>
      <c r="K105" s="22">
        <v>28</v>
      </c>
      <c r="L105" s="23">
        <v>0.5</v>
      </c>
      <c r="M105" s="24">
        <f>IF(MAX(0,ROUNDUP(F105*2-I105,0))=0,"",MAX(0,ROUNDUP(F105*2-I105,0)))</f>
        <v>1</v>
      </c>
    </row>
    <row r="106" spans="1:13" x14ac:dyDescent="0.25">
      <c r="A106" s="16" t="s">
        <v>217</v>
      </c>
      <c r="B106" s="16" t="s">
        <v>218</v>
      </c>
      <c r="C106" s="17">
        <v>1</v>
      </c>
      <c r="D106" s="17">
        <v>2</v>
      </c>
      <c r="E106" s="18">
        <v>3</v>
      </c>
      <c r="F106" s="17">
        <v>2</v>
      </c>
      <c r="G106" s="19">
        <v>2</v>
      </c>
      <c r="H106" s="17" t="s">
        <v>1</v>
      </c>
      <c r="I106" s="20">
        <v>1</v>
      </c>
      <c r="J106" s="21">
        <v>1.5</v>
      </c>
      <c r="K106" s="22">
        <v>21</v>
      </c>
      <c r="L106" s="23">
        <v>0.667</v>
      </c>
      <c r="M106" s="24">
        <f>IF(MAX(0,ROUNDUP(F106*2-I106,0))=0,"",MAX(0,ROUNDUP(F106*2-I106,0)))</f>
        <v>3</v>
      </c>
    </row>
    <row r="107" spans="1:13" x14ac:dyDescent="0.25">
      <c r="A107" s="16" t="s">
        <v>219</v>
      </c>
      <c r="B107" s="16" t="s">
        <v>220</v>
      </c>
      <c r="C107" s="17">
        <v>2</v>
      </c>
      <c r="D107" s="17">
        <v>4</v>
      </c>
      <c r="E107" s="18">
        <v>6</v>
      </c>
      <c r="F107" s="17">
        <v>6</v>
      </c>
      <c r="G107" s="19">
        <v>6</v>
      </c>
      <c r="H107" s="17" t="s">
        <v>1</v>
      </c>
      <c r="I107" s="20">
        <v>0</v>
      </c>
      <c r="J107" s="21">
        <v>1</v>
      </c>
      <c r="K107" s="22">
        <v>14</v>
      </c>
      <c r="L107" s="23">
        <v>1</v>
      </c>
      <c r="M107" s="24">
        <f>IF(MAX(0,ROUNDUP(F107*2-I107,0))=0,"",MAX(0,ROUNDUP(F107*2-I107,0)))</f>
        <v>12</v>
      </c>
    </row>
    <row r="108" spans="1:13" x14ac:dyDescent="0.25">
      <c r="A108" s="16" t="s">
        <v>221</v>
      </c>
      <c r="B108" s="16" t="s">
        <v>222</v>
      </c>
      <c r="C108" s="17">
        <v>1</v>
      </c>
      <c r="D108" s="17">
        <v>3</v>
      </c>
      <c r="E108" s="18">
        <v>4</v>
      </c>
      <c r="F108" s="17">
        <v>2</v>
      </c>
      <c r="G108" s="19">
        <v>2</v>
      </c>
      <c r="H108" s="17" t="s">
        <v>1</v>
      </c>
      <c r="I108" s="20">
        <v>2</v>
      </c>
      <c r="J108" s="21">
        <v>2</v>
      </c>
      <c r="K108" s="22">
        <v>28</v>
      </c>
      <c r="L108" s="23">
        <v>0.5</v>
      </c>
      <c r="M108" s="24">
        <f>IF(MAX(0,ROUNDUP(F108*2-I108,0))=0,"",MAX(0,ROUNDUP(F108*2-I108,0)))</f>
        <v>2</v>
      </c>
    </row>
    <row r="109" spans="1:13" x14ac:dyDescent="0.25">
      <c r="A109" s="16" t="s">
        <v>223</v>
      </c>
      <c r="B109" s="16" t="s">
        <v>224</v>
      </c>
      <c r="C109" s="17">
        <v>1</v>
      </c>
      <c r="D109" s="17">
        <v>3</v>
      </c>
      <c r="E109" s="18">
        <v>4</v>
      </c>
      <c r="F109" s="17">
        <v>4</v>
      </c>
      <c r="G109" s="19">
        <v>4</v>
      </c>
      <c r="H109" s="17" t="s">
        <v>1</v>
      </c>
      <c r="I109" s="20">
        <v>0</v>
      </c>
      <c r="J109" s="21">
        <v>1</v>
      </c>
      <c r="K109" s="22">
        <v>14</v>
      </c>
      <c r="L109" s="23">
        <v>1</v>
      </c>
      <c r="M109" s="24">
        <f>IF(MAX(0,ROUNDUP(F109*2-I109,0))=0,"",MAX(0,ROUNDUP(F109*2-I109,0)))</f>
        <v>8</v>
      </c>
    </row>
    <row r="110" spans="1:13" x14ac:dyDescent="0.25">
      <c r="A110" s="16" t="s">
        <v>225</v>
      </c>
      <c r="B110" s="16" t="s">
        <v>226</v>
      </c>
      <c r="C110" s="17">
        <v>1</v>
      </c>
      <c r="D110" s="17">
        <v>1</v>
      </c>
      <c r="E110" s="18">
        <v>2</v>
      </c>
      <c r="F110" s="17">
        <v>1</v>
      </c>
      <c r="G110" s="19">
        <v>1</v>
      </c>
      <c r="H110" s="17" t="s">
        <v>1</v>
      </c>
      <c r="I110" s="20">
        <v>1</v>
      </c>
      <c r="J110" s="21">
        <v>2</v>
      </c>
      <c r="K110" s="22">
        <v>28</v>
      </c>
      <c r="L110" s="23">
        <v>0.5</v>
      </c>
      <c r="M110" s="24">
        <f>IF(MAX(0,ROUNDUP(F110*2-I110,0))=0,"",MAX(0,ROUNDUP(F110*2-I110,0)))</f>
        <v>1</v>
      </c>
    </row>
    <row r="111" spans="1:13" x14ac:dyDescent="0.25">
      <c r="A111" s="16" t="s">
        <v>227</v>
      </c>
      <c r="B111" s="16" t="s">
        <v>228</v>
      </c>
      <c r="C111" s="17">
        <v>2</v>
      </c>
      <c r="D111" s="17">
        <v>3</v>
      </c>
      <c r="E111" s="18">
        <v>5</v>
      </c>
      <c r="F111" s="17">
        <v>3</v>
      </c>
      <c r="G111" s="19">
        <v>2</v>
      </c>
      <c r="H111" s="17">
        <v>1</v>
      </c>
      <c r="I111" s="20">
        <v>2</v>
      </c>
      <c r="J111" s="21">
        <v>1.667</v>
      </c>
      <c r="K111" s="22">
        <v>23.3</v>
      </c>
      <c r="L111" s="23">
        <v>0.6</v>
      </c>
      <c r="M111" s="24">
        <f>IF(MAX(0,ROUNDUP(F111*2-I111,0))=0,"",MAX(0,ROUNDUP(F111*2-I111,0)))</f>
        <v>4</v>
      </c>
    </row>
    <row r="112" spans="1:13" x14ac:dyDescent="0.25">
      <c r="A112" s="16" t="s">
        <v>229</v>
      </c>
      <c r="B112" s="16" t="s">
        <v>230</v>
      </c>
      <c r="C112" s="17" t="s">
        <v>1</v>
      </c>
      <c r="D112" s="17">
        <v>7</v>
      </c>
      <c r="E112" s="18">
        <v>7</v>
      </c>
      <c r="F112" s="17">
        <v>4</v>
      </c>
      <c r="G112" s="19">
        <v>4</v>
      </c>
      <c r="H112" s="17" t="s">
        <v>1</v>
      </c>
      <c r="I112" s="20">
        <v>3</v>
      </c>
      <c r="J112" s="21">
        <v>1.75</v>
      </c>
      <c r="K112" s="22">
        <v>24.5</v>
      </c>
      <c r="L112" s="23">
        <v>0.571</v>
      </c>
      <c r="M112" s="24">
        <f>IF(MAX(0,ROUNDUP(F112*2-I112,0))=0,"",MAX(0,ROUNDUP(F112*2-I112,0)))</f>
        <v>5</v>
      </c>
    </row>
    <row r="113" spans="1:13" x14ac:dyDescent="0.25">
      <c r="A113" s="16" t="s">
        <v>231</v>
      </c>
      <c r="B113" s="16" t="s">
        <v>232</v>
      </c>
      <c r="C113" s="17">
        <v>2</v>
      </c>
      <c r="D113" s="17">
        <v>2</v>
      </c>
      <c r="E113" s="18">
        <v>4</v>
      </c>
      <c r="F113" s="17">
        <v>3</v>
      </c>
      <c r="G113" s="19">
        <v>3</v>
      </c>
      <c r="H113" s="17" t="s">
        <v>1</v>
      </c>
      <c r="I113" s="20">
        <v>1</v>
      </c>
      <c r="J113" s="21">
        <v>1.333</v>
      </c>
      <c r="K113" s="22">
        <v>18.7</v>
      </c>
      <c r="L113" s="23">
        <v>0.75</v>
      </c>
      <c r="M113" s="24">
        <f>IF(MAX(0,ROUNDUP(F113*2-I113,0))=0,"",MAX(0,ROUNDUP(F113*2-I113,0)))</f>
        <v>5</v>
      </c>
    </row>
    <row r="114" spans="1:13" x14ac:dyDescent="0.25">
      <c r="A114" s="16" t="s">
        <v>233</v>
      </c>
      <c r="B114" s="16" t="s">
        <v>234</v>
      </c>
      <c r="C114" s="17" t="s">
        <v>1</v>
      </c>
      <c r="D114" s="17">
        <v>5</v>
      </c>
      <c r="E114" s="18">
        <v>5</v>
      </c>
      <c r="F114" s="17">
        <v>3</v>
      </c>
      <c r="G114" s="19">
        <v>3</v>
      </c>
      <c r="H114" s="17" t="s">
        <v>1</v>
      </c>
      <c r="I114" s="20">
        <v>2</v>
      </c>
      <c r="J114" s="21">
        <v>1.667</v>
      </c>
      <c r="K114" s="22">
        <v>23.3</v>
      </c>
      <c r="L114" s="23">
        <v>0.6</v>
      </c>
      <c r="M114" s="24">
        <f>IF(MAX(0,ROUNDUP(F114*2-I114,0))=0,"",MAX(0,ROUNDUP(F114*2-I114,0)))</f>
        <v>4</v>
      </c>
    </row>
    <row r="115" spans="1:13" x14ac:dyDescent="0.25">
      <c r="A115" s="16" t="s">
        <v>235</v>
      </c>
      <c r="B115" s="16" t="s">
        <v>236</v>
      </c>
      <c r="C115" s="17">
        <v>1</v>
      </c>
      <c r="D115" s="17">
        <v>2</v>
      </c>
      <c r="E115" s="18">
        <v>3</v>
      </c>
      <c r="F115" s="17">
        <v>2</v>
      </c>
      <c r="G115" s="19">
        <v>2</v>
      </c>
      <c r="H115" s="17" t="s">
        <v>1</v>
      </c>
      <c r="I115" s="20">
        <v>1</v>
      </c>
      <c r="J115" s="21">
        <v>1.5</v>
      </c>
      <c r="K115" s="22">
        <v>21</v>
      </c>
      <c r="L115" s="23">
        <v>0.667</v>
      </c>
      <c r="M115" s="24">
        <f>IF(MAX(0,ROUNDUP(F115*2-I115,0))=0,"",MAX(0,ROUNDUP(F115*2-I115,0)))</f>
        <v>3</v>
      </c>
    </row>
    <row r="116" spans="1:13" x14ac:dyDescent="0.25">
      <c r="A116" s="16" t="s">
        <v>237</v>
      </c>
      <c r="B116" s="16" t="s">
        <v>238</v>
      </c>
      <c r="C116" s="17">
        <v>1</v>
      </c>
      <c r="D116" s="17" t="s">
        <v>1</v>
      </c>
      <c r="E116" s="18">
        <v>1</v>
      </c>
      <c r="F116" s="17">
        <v>1</v>
      </c>
      <c r="G116" s="19">
        <v>1</v>
      </c>
      <c r="H116" s="17" t="s">
        <v>1</v>
      </c>
      <c r="I116" s="20">
        <v>0</v>
      </c>
      <c r="J116" s="21">
        <v>1</v>
      </c>
      <c r="K116" s="22">
        <v>14</v>
      </c>
      <c r="L116" s="23">
        <v>1</v>
      </c>
      <c r="M116" s="24">
        <f>IF(MAX(0,ROUNDUP(F116*2-I116,0))=0,"",MAX(0,ROUNDUP(F116*2-I116,0)))</f>
        <v>2</v>
      </c>
    </row>
    <row r="117" spans="1:13" x14ac:dyDescent="0.25">
      <c r="A117" s="16" t="s">
        <v>239</v>
      </c>
      <c r="B117" s="16" t="s">
        <v>240</v>
      </c>
      <c r="C117" s="17">
        <v>2</v>
      </c>
      <c r="D117" s="17">
        <v>1</v>
      </c>
      <c r="E117" s="18">
        <v>3</v>
      </c>
      <c r="F117" s="17">
        <v>2</v>
      </c>
      <c r="G117" s="19">
        <v>1</v>
      </c>
      <c r="H117" s="17">
        <v>1</v>
      </c>
      <c r="I117" s="20">
        <v>1</v>
      </c>
      <c r="J117" s="21">
        <v>1.5</v>
      </c>
      <c r="K117" s="22">
        <v>21</v>
      </c>
      <c r="L117" s="23">
        <v>0.667</v>
      </c>
      <c r="M117" s="24">
        <f>IF(MAX(0,ROUNDUP(F117*2-I117,0))=0,"",MAX(0,ROUNDUP(F117*2-I117,0)))</f>
        <v>3</v>
      </c>
    </row>
    <row r="118" spans="1:13" x14ac:dyDescent="0.25">
      <c r="A118" s="16" t="s">
        <v>241</v>
      </c>
      <c r="B118" s="16" t="s">
        <v>242</v>
      </c>
      <c r="C118" s="17" t="s">
        <v>1</v>
      </c>
      <c r="D118" s="17">
        <v>1</v>
      </c>
      <c r="E118" s="18">
        <v>1</v>
      </c>
      <c r="F118" s="17">
        <v>1</v>
      </c>
      <c r="G118" s="19">
        <v>1</v>
      </c>
      <c r="H118" s="17" t="s">
        <v>1</v>
      </c>
      <c r="I118" s="20">
        <v>0</v>
      </c>
      <c r="J118" s="21">
        <v>1</v>
      </c>
      <c r="K118" s="22">
        <v>14</v>
      </c>
      <c r="L118" s="23">
        <v>1</v>
      </c>
      <c r="M118" s="24">
        <f>IF(MAX(0,ROUNDUP(F118*2-I118,0))=0,"",MAX(0,ROUNDUP(F118*2-I118,0)))</f>
        <v>2</v>
      </c>
    </row>
    <row r="119" spans="1:13" x14ac:dyDescent="0.25">
      <c r="A119" s="16" t="s">
        <v>243</v>
      </c>
      <c r="B119" s="16" t="s">
        <v>244</v>
      </c>
      <c r="C119" s="17">
        <v>1</v>
      </c>
      <c r="D119" s="17" t="s">
        <v>1</v>
      </c>
      <c r="E119" s="18">
        <v>1</v>
      </c>
      <c r="F119" s="17">
        <v>1</v>
      </c>
      <c r="G119" s="19">
        <v>1</v>
      </c>
      <c r="H119" s="17" t="s">
        <v>1</v>
      </c>
      <c r="I119" s="20">
        <v>0</v>
      </c>
      <c r="J119" s="21">
        <v>1</v>
      </c>
      <c r="K119" s="22">
        <v>14</v>
      </c>
      <c r="L119" s="23">
        <v>1</v>
      </c>
      <c r="M119" s="24">
        <f>IF(MAX(0,ROUNDUP(F119*2-I119,0))=0,"",MAX(0,ROUNDUP(F119*2-I119,0)))</f>
        <v>2</v>
      </c>
    </row>
    <row r="120" spans="1:13" x14ac:dyDescent="0.25">
      <c r="A120" s="16" t="s">
        <v>245</v>
      </c>
      <c r="B120" s="16" t="s">
        <v>246</v>
      </c>
      <c r="C120" s="17">
        <v>1</v>
      </c>
      <c r="D120" s="17">
        <v>1</v>
      </c>
      <c r="E120" s="18">
        <v>2</v>
      </c>
      <c r="F120" s="17">
        <v>1</v>
      </c>
      <c r="G120" s="19">
        <v>1</v>
      </c>
      <c r="H120" s="17" t="s">
        <v>1</v>
      </c>
      <c r="I120" s="20">
        <v>1</v>
      </c>
      <c r="J120" s="21">
        <v>2</v>
      </c>
      <c r="K120" s="22">
        <v>28</v>
      </c>
      <c r="L120" s="23">
        <v>0.5</v>
      </c>
      <c r="M120" s="24">
        <f>IF(MAX(0,ROUNDUP(F120*2-I120,0))=0,"",MAX(0,ROUNDUP(F120*2-I120,0)))</f>
        <v>1</v>
      </c>
    </row>
    <row r="121" spans="1:13" x14ac:dyDescent="0.25">
      <c r="A121" s="16" t="s">
        <v>247</v>
      </c>
      <c r="B121" s="16" t="s">
        <v>248</v>
      </c>
      <c r="C121" s="17">
        <v>1</v>
      </c>
      <c r="D121" s="17" t="s">
        <v>1</v>
      </c>
      <c r="E121" s="18">
        <v>1</v>
      </c>
      <c r="F121" s="17">
        <v>1</v>
      </c>
      <c r="G121" s="19">
        <v>1</v>
      </c>
      <c r="H121" s="17" t="s">
        <v>1</v>
      </c>
      <c r="I121" s="20">
        <v>0</v>
      </c>
      <c r="J121" s="21">
        <v>1</v>
      </c>
      <c r="K121" s="22">
        <v>14</v>
      </c>
      <c r="L121" s="23">
        <v>1</v>
      </c>
      <c r="M121" s="24">
        <f>IF(MAX(0,ROUNDUP(F121*2-I121,0))=0,"",MAX(0,ROUNDUP(F121*2-I121,0)))</f>
        <v>2</v>
      </c>
    </row>
    <row r="122" spans="1:13" x14ac:dyDescent="0.25">
      <c r="A122" s="16" t="s">
        <v>249</v>
      </c>
      <c r="B122" s="16" t="s">
        <v>250</v>
      </c>
      <c r="C122" s="17">
        <v>1</v>
      </c>
      <c r="D122" s="17" t="s">
        <v>1</v>
      </c>
      <c r="E122" s="18">
        <v>1</v>
      </c>
      <c r="F122" s="17">
        <v>1</v>
      </c>
      <c r="G122" s="19">
        <v>1</v>
      </c>
      <c r="H122" s="17" t="s">
        <v>1</v>
      </c>
      <c r="I122" s="20">
        <v>0</v>
      </c>
      <c r="J122" s="21">
        <v>1</v>
      </c>
      <c r="K122" s="22">
        <v>14</v>
      </c>
      <c r="L122" s="23">
        <v>1</v>
      </c>
      <c r="M122" s="24">
        <f>IF(MAX(0,ROUNDUP(F122*2-I122,0))=0,"",MAX(0,ROUNDUP(F122*2-I122,0)))</f>
        <v>2</v>
      </c>
    </row>
    <row r="123" spans="1:13" x14ac:dyDescent="0.25">
      <c r="A123" s="16" t="s">
        <v>251</v>
      </c>
      <c r="B123" s="16" t="s">
        <v>252</v>
      </c>
      <c r="C123" s="17">
        <v>1</v>
      </c>
      <c r="D123" s="17">
        <v>1</v>
      </c>
      <c r="E123" s="18">
        <v>2</v>
      </c>
      <c r="F123" s="17">
        <v>1</v>
      </c>
      <c r="G123" s="19">
        <v>1</v>
      </c>
      <c r="H123" s="17" t="s">
        <v>1</v>
      </c>
      <c r="I123" s="20">
        <v>1</v>
      </c>
      <c r="J123" s="21">
        <v>2</v>
      </c>
      <c r="K123" s="22">
        <v>28</v>
      </c>
      <c r="L123" s="23">
        <v>0.5</v>
      </c>
      <c r="M123" s="24">
        <f>IF(MAX(0,ROUNDUP(F123*2-I123,0))=0,"",MAX(0,ROUNDUP(F123*2-I123,0)))</f>
        <v>1</v>
      </c>
    </row>
    <row r="124" spans="1:13" x14ac:dyDescent="0.25">
      <c r="A124" s="16" t="s">
        <v>253</v>
      </c>
      <c r="B124" s="16" t="s">
        <v>254</v>
      </c>
      <c r="C124" s="17" t="s">
        <v>1</v>
      </c>
      <c r="D124" s="17">
        <v>2</v>
      </c>
      <c r="E124" s="18">
        <v>2</v>
      </c>
      <c r="F124" s="17">
        <v>1</v>
      </c>
      <c r="G124" s="19">
        <v>1</v>
      </c>
      <c r="H124" s="17" t="s">
        <v>1</v>
      </c>
      <c r="I124" s="20">
        <v>1</v>
      </c>
      <c r="J124" s="21">
        <v>2</v>
      </c>
      <c r="K124" s="22">
        <v>28</v>
      </c>
      <c r="L124" s="23">
        <v>0.5</v>
      </c>
      <c r="M124" s="24">
        <f>IF(MAX(0,ROUNDUP(F124*2-I124,0))=0,"",MAX(0,ROUNDUP(F124*2-I124,0)))</f>
        <v>1</v>
      </c>
    </row>
    <row r="125" spans="1:13" x14ac:dyDescent="0.25">
      <c r="A125" s="16" t="s">
        <v>255</v>
      </c>
      <c r="B125" s="16" t="s">
        <v>256</v>
      </c>
      <c r="C125" s="17">
        <v>1</v>
      </c>
      <c r="D125" s="17" t="s">
        <v>1</v>
      </c>
      <c r="E125" s="18">
        <v>1</v>
      </c>
      <c r="F125" s="17">
        <v>1</v>
      </c>
      <c r="G125" s="19">
        <v>1</v>
      </c>
      <c r="H125" s="17" t="s">
        <v>1</v>
      </c>
      <c r="I125" s="20">
        <v>0</v>
      </c>
      <c r="J125" s="21">
        <v>1</v>
      </c>
      <c r="K125" s="22">
        <v>14</v>
      </c>
      <c r="L125" s="23">
        <v>1</v>
      </c>
      <c r="M125" s="24">
        <f>IF(MAX(0,ROUNDUP(F125*2-I125,0))=0,"",MAX(0,ROUNDUP(F125*2-I125,0)))</f>
        <v>2</v>
      </c>
    </row>
    <row r="126" spans="1:13" x14ac:dyDescent="0.25">
      <c r="A126" s="16" t="s">
        <v>257</v>
      </c>
      <c r="B126" s="16" t="s">
        <v>258</v>
      </c>
      <c r="C126" s="17" t="s">
        <v>1</v>
      </c>
      <c r="D126" s="17">
        <v>8</v>
      </c>
      <c r="E126" s="18">
        <v>8</v>
      </c>
      <c r="F126" s="17">
        <v>4</v>
      </c>
      <c r="G126" s="19">
        <v>2</v>
      </c>
      <c r="H126" s="17" t="s">
        <v>1</v>
      </c>
      <c r="I126" s="20">
        <v>4</v>
      </c>
      <c r="J126" s="21">
        <v>2</v>
      </c>
      <c r="K126" s="22">
        <v>28</v>
      </c>
      <c r="L126" s="23">
        <v>0.5</v>
      </c>
      <c r="M126" s="24">
        <f>IF(MAX(0,ROUNDUP(F126*2-I126,0))=0,"",MAX(0,ROUNDUP(F126*2-I126,0)))</f>
        <v>4</v>
      </c>
    </row>
    <row r="127" spans="1:13" x14ac:dyDescent="0.25">
      <c r="A127" s="16" t="s">
        <v>259</v>
      </c>
      <c r="B127" s="16" t="s">
        <v>260</v>
      </c>
      <c r="C127" s="17">
        <v>1</v>
      </c>
      <c r="D127" s="17" t="s">
        <v>1</v>
      </c>
      <c r="E127" s="18">
        <v>1</v>
      </c>
      <c r="F127" s="17">
        <v>1</v>
      </c>
      <c r="G127" s="19">
        <v>1</v>
      </c>
      <c r="H127" s="17" t="s">
        <v>1</v>
      </c>
      <c r="I127" s="20">
        <v>0</v>
      </c>
      <c r="J127" s="21">
        <v>1</v>
      </c>
      <c r="K127" s="22">
        <v>14</v>
      </c>
      <c r="L127" s="23">
        <v>1</v>
      </c>
      <c r="M127" s="24">
        <f>IF(MAX(0,ROUNDUP(F127*2-I127,0))=0,"",MAX(0,ROUNDUP(F127*2-I127,0)))</f>
        <v>2</v>
      </c>
    </row>
    <row r="128" spans="1:13" x14ac:dyDescent="0.25">
      <c r="A128" s="16" t="s">
        <v>261</v>
      </c>
      <c r="B128" s="16" t="s">
        <v>262</v>
      </c>
      <c r="C128" s="17">
        <v>1</v>
      </c>
      <c r="D128" s="17" t="s">
        <v>1</v>
      </c>
      <c r="E128" s="18">
        <v>1</v>
      </c>
      <c r="F128" s="17">
        <v>1</v>
      </c>
      <c r="G128" s="19" t="s">
        <v>1</v>
      </c>
      <c r="H128" s="17">
        <v>1</v>
      </c>
      <c r="I128" s="20">
        <v>0</v>
      </c>
      <c r="J128" s="21">
        <v>1</v>
      </c>
      <c r="K128" s="22">
        <v>14</v>
      </c>
      <c r="L128" s="23">
        <v>1</v>
      </c>
      <c r="M128" s="24">
        <f>IF(MAX(0,ROUNDUP(F128*2-I128,0))=0,"",MAX(0,ROUNDUP(F128*2-I128,0)))</f>
        <v>2</v>
      </c>
    </row>
    <row r="129" spans="1:13" x14ac:dyDescent="0.25">
      <c r="A129" s="16" t="s">
        <v>263</v>
      </c>
      <c r="B129" s="16" t="s">
        <v>264</v>
      </c>
      <c r="C129" s="17">
        <v>5</v>
      </c>
      <c r="D129" s="17">
        <v>26</v>
      </c>
      <c r="E129" s="18">
        <v>31</v>
      </c>
      <c r="F129" s="17">
        <v>26</v>
      </c>
      <c r="G129" s="19">
        <v>25</v>
      </c>
      <c r="H129" s="17">
        <v>1</v>
      </c>
      <c r="I129" s="20">
        <v>5</v>
      </c>
      <c r="J129" s="21">
        <v>1.192</v>
      </c>
      <c r="K129" s="22">
        <v>16.7</v>
      </c>
      <c r="L129" s="23">
        <v>0.839</v>
      </c>
      <c r="M129" s="24">
        <f>IF(MAX(0,ROUNDUP(F129*2-I129,0))=0,"",MAX(0,ROUNDUP(F129*2-I129,0)))</f>
        <v>47</v>
      </c>
    </row>
    <row r="130" spans="1:13" x14ac:dyDescent="0.25">
      <c r="A130" s="16" t="s">
        <v>265</v>
      </c>
      <c r="B130" s="16" t="s">
        <v>266</v>
      </c>
      <c r="C130" s="17">
        <v>8</v>
      </c>
      <c r="D130" s="17">
        <v>24</v>
      </c>
      <c r="E130" s="18">
        <v>32</v>
      </c>
      <c r="F130" s="17">
        <v>24</v>
      </c>
      <c r="G130" s="19">
        <v>23</v>
      </c>
      <c r="H130" s="17" t="s">
        <v>1</v>
      </c>
      <c r="I130" s="20">
        <v>8</v>
      </c>
      <c r="J130" s="21">
        <v>1.333</v>
      </c>
      <c r="K130" s="22">
        <v>18.7</v>
      </c>
      <c r="L130" s="23">
        <v>0.75</v>
      </c>
      <c r="M130" s="24">
        <f>IF(MAX(0,ROUNDUP(F130*2-I130,0))=0,"",MAX(0,ROUNDUP(F130*2-I130,0)))</f>
        <v>40</v>
      </c>
    </row>
    <row r="131" spans="1:13" x14ac:dyDescent="0.25">
      <c r="A131" s="16" t="s">
        <v>267</v>
      </c>
      <c r="B131" s="16" t="s">
        <v>268</v>
      </c>
      <c r="C131" s="17">
        <v>12</v>
      </c>
      <c r="D131" s="17">
        <v>30</v>
      </c>
      <c r="E131" s="18">
        <v>42</v>
      </c>
      <c r="F131" s="17">
        <v>42</v>
      </c>
      <c r="G131" s="19">
        <v>42</v>
      </c>
      <c r="H131" s="17" t="s">
        <v>1</v>
      </c>
      <c r="I131" s="20">
        <v>0</v>
      </c>
      <c r="J131" s="21">
        <v>1</v>
      </c>
      <c r="K131" s="22">
        <v>14</v>
      </c>
      <c r="L131" s="23">
        <v>1</v>
      </c>
      <c r="M131" s="24">
        <f>IF(MAX(0,ROUNDUP(F131*2-I131,0))=0,"",MAX(0,ROUNDUP(F131*2-I131,0)))</f>
        <v>84</v>
      </c>
    </row>
    <row r="132" spans="1:13" x14ac:dyDescent="0.25">
      <c r="A132" s="16" t="s">
        <v>269</v>
      </c>
      <c r="B132" s="16" t="s">
        <v>270</v>
      </c>
      <c r="C132" s="17">
        <v>1</v>
      </c>
      <c r="D132" s="17">
        <v>19</v>
      </c>
      <c r="E132" s="18">
        <v>20</v>
      </c>
      <c r="F132" s="17">
        <v>12</v>
      </c>
      <c r="G132" s="19">
        <v>12</v>
      </c>
      <c r="H132" s="17" t="s">
        <v>1</v>
      </c>
      <c r="I132" s="20">
        <v>8</v>
      </c>
      <c r="J132" s="21">
        <v>1.667</v>
      </c>
      <c r="K132" s="22">
        <v>23.3</v>
      </c>
      <c r="L132" s="23">
        <v>0.6</v>
      </c>
      <c r="M132" s="24">
        <f>IF(MAX(0,ROUNDUP(F132*2-I132,0))=0,"",MAX(0,ROUNDUP(F132*2-I132,0)))</f>
        <v>16</v>
      </c>
    </row>
    <row r="133" spans="1:13" x14ac:dyDescent="0.25">
      <c r="A133" s="16" t="s">
        <v>271</v>
      </c>
      <c r="B133" s="16" t="s">
        <v>272</v>
      </c>
      <c r="C133" s="17">
        <v>2</v>
      </c>
      <c r="D133" s="17" t="s">
        <v>1</v>
      </c>
      <c r="E133" s="18">
        <v>2</v>
      </c>
      <c r="F133" s="17">
        <v>1</v>
      </c>
      <c r="G133" s="19">
        <v>1</v>
      </c>
      <c r="H133" s="17" t="s">
        <v>1</v>
      </c>
      <c r="I133" s="20">
        <v>1</v>
      </c>
      <c r="J133" s="21">
        <v>2</v>
      </c>
      <c r="K133" s="22">
        <v>28</v>
      </c>
      <c r="L133" s="23">
        <v>0.5</v>
      </c>
      <c r="M133" s="24">
        <f>IF(MAX(0,ROUNDUP(F133*2-I133,0))=0,"",MAX(0,ROUNDUP(F133*2-I133,0)))</f>
        <v>1</v>
      </c>
    </row>
    <row r="134" spans="1:13" x14ac:dyDescent="0.25">
      <c r="A134" s="16" t="s">
        <v>273</v>
      </c>
      <c r="B134" s="16" t="s">
        <v>274</v>
      </c>
      <c r="C134" s="17">
        <v>7</v>
      </c>
      <c r="D134" s="17">
        <v>8</v>
      </c>
      <c r="E134" s="18">
        <v>15</v>
      </c>
      <c r="F134" s="17">
        <v>13</v>
      </c>
      <c r="G134" s="19">
        <v>13</v>
      </c>
      <c r="H134" s="17" t="s">
        <v>1</v>
      </c>
      <c r="I134" s="20">
        <v>2</v>
      </c>
      <c r="J134" s="21">
        <v>1.154</v>
      </c>
      <c r="K134" s="22">
        <v>16.2</v>
      </c>
      <c r="L134" s="23">
        <v>0.867</v>
      </c>
      <c r="M134" s="24">
        <f>IF(MAX(0,ROUNDUP(F134*2-I134,0))=0,"",MAX(0,ROUNDUP(F134*2-I134,0)))</f>
        <v>24</v>
      </c>
    </row>
    <row r="135" spans="1:13" x14ac:dyDescent="0.25">
      <c r="A135" s="16" t="s">
        <v>275</v>
      </c>
      <c r="B135" s="16" t="s">
        <v>276</v>
      </c>
      <c r="C135" s="17">
        <v>2</v>
      </c>
      <c r="D135" s="17">
        <v>8</v>
      </c>
      <c r="E135" s="18">
        <v>10</v>
      </c>
      <c r="F135" s="17">
        <v>7</v>
      </c>
      <c r="G135" s="19">
        <v>7</v>
      </c>
      <c r="H135" s="17" t="s">
        <v>1</v>
      </c>
      <c r="I135" s="20">
        <v>3</v>
      </c>
      <c r="J135" s="21">
        <v>1.429</v>
      </c>
      <c r="K135" s="22">
        <v>20</v>
      </c>
      <c r="L135" s="23">
        <v>0.7</v>
      </c>
      <c r="M135" s="24">
        <f>IF(MAX(0,ROUNDUP(F135*2-I135,0))=0,"",MAX(0,ROUNDUP(F135*2-I135,0)))</f>
        <v>11</v>
      </c>
    </row>
    <row r="136" spans="1:13" x14ac:dyDescent="0.25">
      <c r="A136" s="16" t="s">
        <v>277</v>
      </c>
      <c r="B136" s="16" t="s">
        <v>278</v>
      </c>
      <c r="C136" s="17">
        <v>2</v>
      </c>
      <c r="D136" s="17">
        <v>14</v>
      </c>
      <c r="E136" s="18">
        <v>16</v>
      </c>
      <c r="F136" s="17">
        <v>11</v>
      </c>
      <c r="G136" s="19">
        <v>11</v>
      </c>
      <c r="H136" s="17" t="s">
        <v>1</v>
      </c>
      <c r="I136" s="20">
        <v>5</v>
      </c>
      <c r="J136" s="21">
        <v>1.455</v>
      </c>
      <c r="K136" s="22">
        <v>20.4</v>
      </c>
      <c r="L136" s="23">
        <v>0.688</v>
      </c>
      <c r="M136" s="24">
        <f>IF(MAX(0,ROUNDUP(F136*2-I136,0))=0,"",MAX(0,ROUNDUP(F136*2-I136,0)))</f>
        <v>17</v>
      </c>
    </row>
    <row r="137" spans="1:13" x14ac:dyDescent="0.25">
      <c r="A137" s="16" t="s">
        <v>279</v>
      </c>
      <c r="B137" s="16" t="s">
        <v>280</v>
      </c>
      <c r="C137" s="17">
        <v>2</v>
      </c>
      <c r="D137" s="17">
        <v>8</v>
      </c>
      <c r="E137" s="18">
        <v>10</v>
      </c>
      <c r="F137" s="17">
        <v>6</v>
      </c>
      <c r="G137" s="19">
        <v>6</v>
      </c>
      <c r="H137" s="17" t="s">
        <v>1</v>
      </c>
      <c r="I137" s="20">
        <v>4</v>
      </c>
      <c r="J137" s="21">
        <v>1.667</v>
      </c>
      <c r="K137" s="22">
        <v>23.3</v>
      </c>
      <c r="L137" s="23">
        <v>0.6</v>
      </c>
      <c r="M137" s="24">
        <f>IF(MAX(0,ROUNDUP(F137*2-I137,0))=0,"",MAX(0,ROUNDUP(F137*2-I137,0)))</f>
        <v>8</v>
      </c>
    </row>
    <row r="138" spans="1:13" x14ac:dyDescent="0.25">
      <c r="A138" s="16" t="s">
        <v>281</v>
      </c>
      <c r="B138" s="16" t="s">
        <v>282</v>
      </c>
      <c r="C138" s="17" t="s">
        <v>1</v>
      </c>
      <c r="D138" s="17">
        <v>5</v>
      </c>
      <c r="E138" s="18">
        <v>5</v>
      </c>
      <c r="F138" s="17">
        <v>3</v>
      </c>
      <c r="G138" s="19">
        <v>3</v>
      </c>
      <c r="H138" s="17" t="s">
        <v>1</v>
      </c>
      <c r="I138" s="20">
        <v>2</v>
      </c>
      <c r="J138" s="21">
        <v>1.667</v>
      </c>
      <c r="K138" s="22">
        <v>23.3</v>
      </c>
      <c r="L138" s="23">
        <v>0.6</v>
      </c>
      <c r="M138" s="24">
        <f>IF(MAX(0,ROUNDUP(F138*2-I138,0))=0,"",MAX(0,ROUNDUP(F138*2-I138,0)))</f>
        <v>4</v>
      </c>
    </row>
    <row r="139" spans="1:13" x14ac:dyDescent="0.25">
      <c r="A139" s="16" t="s">
        <v>283</v>
      </c>
      <c r="B139" s="16" t="s">
        <v>284</v>
      </c>
      <c r="C139" s="17">
        <v>6</v>
      </c>
      <c r="D139" s="17">
        <v>15</v>
      </c>
      <c r="E139" s="18">
        <v>21</v>
      </c>
      <c r="F139" s="17">
        <v>13</v>
      </c>
      <c r="G139" s="19">
        <v>13</v>
      </c>
      <c r="H139" s="17" t="s">
        <v>1</v>
      </c>
      <c r="I139" s="20">
        <v>8</v>
      </c>
      <c r="J139" s="21">
        <v>1.615</v>
      </c>
      <c r="K139" s="22">
        <v>22.6</v>
      </c>
      <c r="L139" s="23">
        <v>0.619</v>
      </c>
      <c r="M139" s="24">
        <f>IF(MAX(0,ROUNDUP(F139*2-I139,0))=0,"",MAX(0,ROUNDUP(F139*2-I139,0)))</f>
        <v>18</v>
      </c>
    </row>
    <row r="140" spans="1:13" x14ac:dyDescent="0.25">
      <c r="A140" s="16" t="s">
        <v>285</v>
      </c>
      <c r="B140" s="16" t="s">
        <v>286</v>
      </c>
      <c r="C140" s="17">
        <v>5</v>
      </c>
      <c r="D140" s="17">
        <v>7</v>
      </c>
      <c r="E140" s="18">
        <v>12</v>
      </c>
      <c r="F140" s="17">
        <v>9</v>
      </c>
      <c r="G140" s="19">
        <v>6</v>
      </c>
      <c r="H140" s="17">
        <v>3</v>
      </c>
      <c r="I140" s="20">
        <v>3</v>
      </c>
      <c r="J140" s="21">
        <v>1.333</v>
      </c>
      <c r="K140" s="22">
        <v>18.7</v>
      </c>
      <c r="L140" s="23">
        <v>0.75</v>
      </c>
      <c r="M140" s="24">
        <f>IF(MAX(0,ROUNDUP(F140*2-I140,0))=0,"",MAX(0,ROUNDUP(F140*2-I140,0)))</f>
        <v>15</v>
      </c>
    </row>
    <row r="141" spans="1:13" x14ac:dyDescent="0.25">
      <c r="A141" s="16" t="s">
        <v>287</v>
      </c>
      <c r="B141" s="16" t="s">
        <v>288</v>
      </c>
      <c r="C141" s="17">
        <v>2</v>
      </c>
      <c r="D141" s="17">
        <v>2</v>
      </c>
      <c r="E141" s="18">
        <v>4</v>
      </c>
      <c r="F141" s="17">
        <v>3</v>
      </c>
      <c r="G141" s="19">
        <v>3</v>
      </c>
      <c r="H141" s="17" t="s">
        <v>1</v>
      </c>
      <c r="I141" s="20">
        <v>1</v>
      </c>
      <c r="J141" s="21">
        <v>1.333</v>
      </c>
      <c r="K141" s="22">
        <v>18.7</v>
      </c>
      <c r="L141" s="23">
        <v>0.75</v>
      </c>
      <c r="M141" s="24">
        <f>IF(MAX(0,ROUNDUP(F141*2-I141,0))=0,"",MAX(0,ROUNDUP(F141*2-I141,0)))</f>
        <v>5</v>
      </c>
    </row>
    <row r="142" spans="1:13" x14ac:dyDescent="0.25">
      <c r="A142" s="16" t="s">
        <v>289</v>
      </c>
      <c r="B142" s="16" t="s">
        <v>290</v>
      </c>
      <c r="C142" s="17">
        <v>2</v>
      </c>
      <c r="D142" s="17">
        <v>4</v>
      </c>
      <c r="E142" s="18">
        <v>6</v>
      </c>
      <c r="F142" s="17">
        <v>4</v>
      </c>
      <c r="G142" s="19">
        <v>4</v>
      </c>
      <c r="H142" s="17" t="s">
        <v>1</v>
      </c>
      <c r="I142" s="20">
        <v>2</v>
      </c>
      <c r="J142" s="21">
        <v>1.5</v>
      </c>
      <c r="K142" s="22">
        <v>21</v>
      </c>
      <c r="L142" s="23">
        <v>0.667</v>
      </c>
      <c r="M142" s="24">
        <f>IF(MAX(0,ROUNDUP(F142*2-I142,0))=0,"",MAX(0,ROUNDUP(F142*2-I142,0)))</f>
        <v>6</v>
      </c>
    </row>
    <row r="143" spans="1:13" x14ac:dyDescent="0.25">
      <c r="A143" s="16" t="s">
        <v>291</v>
      </c>
      <c r="B143" s="16" t="s">
        <v>292</v>
      </c>
      <c r="C143" s="17">
        <v>1</v>
      </c>
      <c r="D143" s="17" t="s">
        <v>1</v>
      </c>
      <c r="E143" s="18">
        <v>1</v>
      </c>
      <c r="F143" s="17">
        <v>1</v>
      </c>
      <c r="G143" s="19">
        <v>1</v>
      </c>
      <c r="H143" s="17" t="s">
        <v>1</v>
      </c>
      <c r="I143" s="20">
        <v>0</v>
      </c>
      <c r="J143" s="21">
        <v>1</v>
      </c>
      <c r="K143" s="22">
        <v>14</v>
      </c>
      <c r="L143" s="23">
        <v>1</v>
      </c>
      <c r="M143" s="24">
        <f>IF(MAX(0,ROUNDUP(F143*2-I143,0))=0,"",MAX(0,ROUNDUP(F143*2-I143,0)))</f>
        <v>2</v>
      </c>
    </row>
    <row r="144" spans="1:13" x14ac:dyDescent="0.25">
      <c r="A144" s="16" t="s">
        <v>293</v>
      </c>
      <c r="B144" s="16" t="s">
        <v>294</v>
      </c>
      <c r="C144" s="17">
        <v>1</v>
      </c>
      <c r="D144" s="17">
        <v>1</v>
      </c>
      <c r="E144" s="18">
        <v>2</v>
      </c>
      <c r="F144" s="17">
        <v>1</v>
      </c>
      <c r="G144" s="19">
        <v>1</v>
      </c>
      <c r="H144" s="17" t="s">
        <v>1</v>
      </c>
      <c r="I144" s="20">
        <v>1</v>
      </c>
      <c r="J144" s="21">
        <v>2</v>
      </c>
      <c r="K144" s="22">
        <v>28</v>
      </c>
      <c r="L144" s="23">
        <v>0.5</v>
      </c>
      <c r="M144" s="24">
        <f>IF(MAX(0,ROUNDUP(F144*2-I144,0))=0,"",MAX(0,ROUNDUP(F144*2-I144,0)))</f>
        <v>1</v>
      </c>
    </row>
    <row r="145" spans="1:13" x14ac:dyDescent="0.25">
      <c r="A145" s="16" t="s">
        <v>295</v>
      </c>
      <c r="B145" s="16" t="s">
        <v>296</v>
      </c>
      <c r="C145" s="17" t="s">
        <v>1</v>
      </c>
      <c r="D145" s="17">
        <v>2</v>
      </c>
      <c r="E145" s="18">
        <v>2</v>
      </c>
      <c r="F145" s="17">
        <v>1</v>
      </c>
      <c r="G145" s="19">
        <v>1</v>
      </c>
      <c r="H145" s="17" t="s">
        <v>1</v>
      </c>
      <c r="I145" s="20">
        <v>1</v>
      </c>
      <c r="J145" s="21">
        <v>2</v>
      </c>
      <c r="K145" s="22">
        <v>28</v>
      </c>
      <c r="L145" s="23">
        <v>0.5</v>
      </c>
      <c r="M145" s="24">
        <f>IF(MAX(0,ROUNDUP(F145*2-I145,0))=0,"",MAX(0,ROUNDUP(F145*2-I145,0)))</f>
        <v>1</v>
      </c>
    </row>
    <row r="146" spans="1:13" x14ac:dyDescent="0.25">
      <c r="A146" s="16" t="s">
        <v>297</v>
      </c>
      <c r="B146" s="16" t="s">
        <v>298</v>
      </c>
      <c r="C146" s="17">
        <v>4</v>
      </c>
      <c r="D146" s="17">
        <v>28</v>
      </c>
      <c r="E146" s="18">
        <v>32</v>
      </c>
      <c r="F146" s="17">
        <v>18</v>
      </c>
      <c r="G146" s="19">
        <v>18</v>
      </c>
      <c r="H146" s="17" t="s">
        <v>1</v>
      </c>
      <c r="I146" s="20">
        <v>14</v>
      </c>
      <c r="J146" s="21">
        <v>1.778</v>
      </c>
      <c r="K146" s="22">
        <v>24.9</v>
      </c>
      <c r="L146" s="23">
        <v>0.563</v>
      </c>
      <c r="M146" s="24">
        <f>IF(MAX(0,ROUNDUP(F146*2-I146,0))=0,"",MAX(0,ROUNDUP(F146*2-I146,0)))</f>
        <v>22</v>
      </c>
    </row>
    <row r="147" spans="1:13" x14ac:dyDescent="0.25">
      <c r="A147" s="16" t="s">
        <v>299</v>
      </c>
      <c r="B147" s="16" t="s">
        <v>300</v>
      </c>
      <c r="C147" s="17">
        <v>5</v>
      </c>
      <c r="D147" s="17">
        <v>12</v>
      </c>
      <c r="E147" s="18">
        <v>17</v>
      </c>
      <c r="F147" s="17">
        <v>11</v>
      </c>
      <c r="G147" s="19">
        <v>11</v>
      </c>
      <c r="H147" s="17" t="s">
        <v>1</v>
      </c>
      <c r="I147" s="20">
        <v>6</v>
      </c>
      <c r="J147" s="21">
        <v>1.545</v>
      </c>
      <c r="K147" s="22">
        <v>21.6</v>
      </c>
      <c r="L147" s="23">
        <v>0.647</v>
      </c>
      <c r="M147" s="24">
        <f>IF(MAX(0,ROUNDUP(F147*2-I147,0))=0,"",MAX(0,ROUNDUP(F147*2-I147,0)))</f>
        <v>16</v>
      </c>
    </row>
    <row r="148" spans="1:13" x14ac:dyDescent="0.25">
      <c r="A148" s="16" t="s">
        <v>301</v>
      </c>
      <c r="B148" s="16" t="s">
        <v>302</v>
      </c>
      <c r="C148" s="17">
        <v>1</v>
      </c>
      <c r="D148" s="17" t="s">
        <v>1</v>
      </c>
      <c r="E148" s="18">
        <v>1</v>
      </c>
      <c r="F148" s="17">
        <v>1</v>
      </c>
      <c r="G148" s="19" t="s">
        <v>1</v>
      </c>
      <c r="H148" s="17">
        <v>1</v>
      </c>
      <c r="I148" s="20">
        <v>0</v>
      </c>
      <c r="J148" s="21">
        <v>1</v>
      </c>
      <c r="K148" s="22">
        <v>14</v>
      </c>
      <c r="L148" s="23">
        <v>1</v>
      </c>
      <c r="M148" s="24">
        <f>IF(MAX(0,ROUNDUP(F148*2-I148,0))=0,"",MAX(0,ROUNDUP(F148*2-I148,0)))</f>
        <v>2</v>
      </c>
    </row>
    <row r="149" spans="1:13" x14ac:dyDescent="0.25">
      <c r="A149" s="16" t="s">
        <v>303</v>
      </c>
      <c r="B149" s="16" t="s">
        <v>304</v>
      </c>
      <c r="C149" s="17">
        <v>3</v>
      </c>
      <c r="D149" s="17">
        <v>1</v>
      </c>
      <c r="E149" s="18">
        <v>4</v>
      </c>
      <c r="F149" s="17">
        <v>2</v>
      </c>
      <c r="G149" s="19">
        <v>2</v>
      </c>
      <c r="H149" s="17" t="s">
        <v>1</v>
      </c>
      <c r="I149" s="20">
        <v>2</v>
      </c>
      <c r="J149" s="21">
        <v>2</v>
      </c>
      <c r="K149" s="22">
        <v>28</v>
      </c>
      <c r="L149" s="23">
        <v>0.5</v>
      </c>
      <c r="M149" s="24">
        <f>IF(MAX(0,ROUNDUP(F149*2-I149,0))=0,"",MAX(0,ROUNDUP(F149*2-I149,0)))</f>
        <v>2</v>
      </c>
    </row>
    <row r="150" spans="1:13" x14ac:dyDescent="0.25">
      <c r="A150" s="16" t="s">
        <v>305</v>
      </c>
      <c r="B150" s="16" t="s">
        <v>306</v>
      </c>
      <c r="C150" s="17">
        <v>1</v>
      </c>
      <c r="D150" s="17">
        <v>2</v>
      </c>
      <c r="E150" s="18">
        <v>3</v>
      </c>
      <c r="F150" s="17">
        <v>2</v>
      </c>
      <c r="G150" s="19">
        <v>2</v>
      </c>
      <c r="H150" s="17" t="s">
        <v>1</v>
      </c>
      <c r="I150" s="20">
        <v>1</v>
      </c>
      <c r="J150" s="21">
        <v>1.5</v>
      </c>
      <c r="K150" s="22">
        <v>21</v>
      </c>
      <c r="L150" s="23">
        <v>0.667</v>
      </c>
      <c r="M150" s="24">
        <f>IF(MAX(0,ROUNDUP(F150*2-I150,0))=0,"",MAX(0,ROUNDUP(F150*2-I150,0)))</f>
        <v>3</v>
      </c>
    </row>
    <row r="151" spans="1:13" x14ac:dyDescent="0.25">
      <c r="A151" s="16" t="s">
        <v>307</v>
      </c>
      <c r="B151" s="16" t="s">
        <v>308</v>
      </c>
      <c r="C151" s="17">
        <v>1</v>
      </c>
      <c r="D151" s="17">
        <v>2</v>
      </c>
      <c r="E151" s="18">
        <v>3</v>
      </c>
      <c r="F151" s="17">
        <v>2</v>
      </c>
      <c r="G151" s="19">
        <v>2</v>
      </c>
      <c r="H151" s="17" t="s">
        <v>1</v>
      </c>
      <c r="I151" s="20">
        <v>1</v>
      </c>
      <c r="J151" s="21">
        <v>1.5</v>
      </c>
      <c r="K151" s="22">
        <v>21</v>
      </c>
      <c r="L151" s="23">
        <v>0.667</v>
      </c>
      <c r="M151" s="24">
        <f>IF(MAX(0,ROUNDUP(F151*2-I151,0))=0,"",MAX(0,ROUNDUP(F151*2-I151,0)))</f>
        <v>3</v>
      </c>
    </row>
    <row r="152" spans="1:13" x14ac:dyDescent="0.25">
      <c r="A152" s="16" t="s">
        <v>309</v>
      </c>
      <c r="B152" s="16" t="s">
        <v>310</v>
      </c>
      <c r="C152" s="17">
        <v>1</v>
      </c>
      <c r="D152" s="17">
        <v>2</v>
      </c>
      <c r="E152" s="18">
        <v>3</v>
      </c>
      <c r="F152" s="17">
        <v>2</v>
      </c>
      <c r="G152" s="19">
        <v>1</v>
      </c>
      <c r="H152" s="17">
        <v>1</v>
      </c>
      <c r="I152" s="20">
        <v>1</v>
      </c>
      <c r="J152" s="21">
        <v>1.5</v>
      </c>
      <c r="K152" s="22">
        <v>21</v>
      </c>
      <c r="L152" s="23">
        <v>0.667</v>
      </c>
      <c r="M152" s="24">
        <f>IF(MAX(0,ROUNDUP(F152*2-I152,0))=0,"",MAX(0,ROUNDUP(F152*2-I152,0)))</f>
        <v>3</v>
      </c>
    </row>
    <row r="153" spans="1:13" x14ac:dyDescent="0.25">
      <c r="A153" s="16" t="s">
        <v>311</v>
      </c>
      <c r="B153" s="16" t="s">
        <v>312</v>
      </c>
      <c r="C153" s="17">
        <v>6</v>
      </c>
      <c r="D153" s="17">
        <v>5</v>
      </c>
      <c r="E153" s="18">
        <v>11</v>
      </c>
      <c r="F153" s="17">
        <v>9</v>
      </c>
      <c r="G153" s="19">
        <v>7</v>
      </c>
      <c r="H153" s="17">
        <v>2</v>
      </c>
      <c r="I153" s="20">
        <v>2</v>
      </c>
      <c r="J153" s="21">
        <v>1.222</v>
      </c>
      <c r="K153" s="22">
        <v>17.1</v>
      </c>
      <c r="L153" s="23">
        <v>0.818</v>
      </c>
      <c r="M153" s="24">
        <f>IF(MAX(0,ROUNDUP(F153*2-I153,0))=0,"",MAX(0,ROUNDUP(F153*2-I153,0)))</f>
        <v>16</v>
      </c>
    </row>
    <row r="154" spans="1:13" x14ac:dyDescent="0.25">
      <c r="A154" s="16" t="s">
        <v>313</v>
      </c>
      <c r="B154" s="16" t="s">
        <v>314</v>
      </c>
      <c r="C154" s="17">
        <v>1</v>
      </c>
      <c r="D154" s="17">
        <v>1</v>
      </c>
      <c r="E154" s="18">
        <v>2</v>
      </c>
      <c r="F154" s="17">
        <v>1</v>
      </c>
      <c r="G154" s="19">
        <v>1</v>
      </c>
      <c r="H154" s="17" t="s">
        <v>1</v>
      </c>
      <c r="I154" s="20">
        <v>1</v>
      </c>
      <c r="J154" s="21">
        <v>2</v>
      </c>
      <c r="K154" s="22">
        <v>28</v>
      </c>
      <c r="L154" s="23">
        <v>0.5</v>
      </c>
      <c r="M154" s="24">
        <f>IF(MAX(0,ROUNDUP(F154*2-I154,0))=0,"",MAX(0,ROUNDUP(F154*2-I154,0)))</f>
        <v>1</v>
      </c>
    </row>
    <row r="155" spans="1:13" x14ac:dyDescent="0.25">
      <c r="A155" s="16" t="s">
        <v>315</v>
      </c>
      <c r="B155" s="16" t="s">
        <v>316</v>
      </c>
      <c r="C155" s="17">
        <v>1</v>
      </c>
      <c r="D155" s="17">
        <v>1</v>
      </c>
      <c r="E155" s="18">
        <v>2</v>
      </c>
      <c r="F155" s="17">
        <v>1</v>
      </c>
      <c r="G155" s="19">
        <v>1</v>
      </c>
      <c r="H155" s="17" t="s">
        <v>1</v>
      </c>
      <c r="I155" s="20">
        <v>1</v>
      </c>
      <c r="J155" s="21">
        <v>2</v>
      </c>
      <c r="K155" s="22">
        <v>28</v>
      </c>
      <c r="L155" s="23">
        <v>0.5</v>
      </c>
      <c r="M155" s="24">
        <f>IF(MAX(0,ROUNDUP(F155*2-I155,0))=0,"",MAX(0,ROUNDUP(F155*2-I155,0)))</f>
        <v>1</v>
      </c>
    </row>
    <row r="156" spans="1:13" x14ac:dyDescent="0.25">
      <c r="A156" s="16" t="s">
        <v>317</v>
      </c>
      <c r="B156" s="16" t="s">
        <v>318</v>
      </c>
      <c r="C156" s="17">
        <v>1</v>
      </c>
      <c r="D156" s="17">
        <v>1</v>
      </c>
      <c r="E156" s="18">
        <v>2</v>
      </c>
      <c r="F156" s="17">
        <v>1</v>
      </c>
      <c r="G156" s="19">
        <v>1</v>
      </c>
      <c r="H156" s="17" t="s">
        <v>1</v>
      </c>
      <c r="I156" s="20">
        <v>1</v>
      </c>
      <c r="J156" s="21">
        <v>2</v>
      </c>
      <c r="K156" s="22">
        <v>28</v>
      </c>
      <c r="L156" s="23">
        <v>0.5</v>
      </c>
      <c r="M156" s="24">
        <f>IF(MAX(0,ROUNDUP(F156*2-I156,0))=0,"",MAX(0,ROUNDUP(F156*2-I156,0)))</f>
        <v>1</v>
      </c>
    </row>
    <row r="157" spans="1:13" x14ac:dyDescent="0.25">
      <c r="A157" s="16" t="s">
        <v>319</v>
      </c>
      <c r="B157" s="16" t="s">
        <v>320</v>
      </c>
      <c r="C157" s="17">
        <v>1</v>
      </c>
      <c r="D157" s="17" t="s">
        <v>1</v>
      </c>
      <c r="E157" s="18">
        <v>1</v>
      </c>
      <c r="F157" s="17">
        <v>1</v>
      </c>
      <c r="G157" s="19" t="s">
        <v>1</v>
      </c>
      <c r="H157" s="17">
        <v>1</v>
      </c>
      <c r="I157" s="20">
        <v>0</v>
      </c>
      <c r="J157" s="21">
        <v>1</v>
      </c>
      <c r="K157" s="22">
        <v>14</v>
      </c>
      <c r="L157" s="23">
        <v>1</v>
      </c>
      <c r="M157" s="24">
        <f>IF(MAX(0,ROUNDUP(F157*2-I157,0))=0,"",MAX(0,ROUNDUP(F157*2-I157,0)))</f>
        <v>2</v>
      </c>
    </row>
    <row r="158" spans="1:13" x14ac:dyDescent="0.25">
      <c r="A158" s="16" t="s">
        <v>321</v>
      </c>
      <c r="B158" s="16" t="s">
        <v>322</v>
      </c>
      <c r="C158" s="17">
        <v>20</v>
      </c>
      <c r="D158" s="17" t="s">
        <v>1</v>
      </c>
      <c r="E158" s="18">
        <v>20</v>
      </c>
      <c r="F158" s="17">
        <v>20</v>
      </c>
      <c r="G158" s="19" t="s">
        <v>1</v>
      </c>
      <c r="H158" s="17">
        <v>20</v>
      </c>
      <c r="I158" s="20">
        <v>0</v>
      </c>
      <c r="J158" s="21">
        <v>1</v>
      </c>
      <c r="K158" s="22">
        <v>14</v>
      </c>
      <c r="L158" s="23">
        <v>1</v>
      </c>
      <c r="M158" s="24">
        <f>IF(MAX(0,ROUNDUP(F158*2-I158,0))=0,"",MAX(0,ROUNDUP(F158*2-I158,0)))</f>
        <v>40</v>
      </c>
    </row>
    <row r="159" spans="1:13" x14ac:dyDescent="0.25">
      <c r="A159" s="16" t="s">
        <v>323</v>
      </c>
      <c r="B159" s="16" t="s">
        <v>324</v>
      </c>
      <c r="C159" s="17" t="s">
        <v>1</v>
      </c>
      <c r="D159" s="17">
        <v>1</v>
      </c>
      <c r="E159" s="18">
        <v>1</v>
      </c>
      <c r="F159" s="17">
        <v>1</v>
      </c>
      <c r="G159" s="19">
        <v>1</v>
      </c>
      <c r="H159" s="17" t="s">
        <v>1</v>
      </c>
      <c r="I159" s="20">
        <v>0</v>
      </c>
      <c r="J159" s="21">
        <v>1</v>
      </c>
      <c r="K159" s="22">
        <v>14</v>
      </c>
      <c r="L159" s="23">
        <v>1</v>
      </c>
      <c r="M159" s="24">
        <f>IF(MAX(0,ROUNDUP(F159*2-I159,0))=0,"",MAX(0,ROUNDUP(F159*2-I159,0)))</f>
        <v>2</v>
      </c>
    </row>
    <row r="160" spans="1:13" x14ac:dyDescent="0.25">
      <c r="A160" s="16" t="s">
        <v>325</v>
      </c>
      <c r="B160" s="16" t="s">
        <v>326</v>
      </c>
      <c r="C160" s="17">
        <v>1</v>
      </c>
      <c r="D160" s="17" t="s">
        <v>1</v>
      </c>
      <c r="E160" s="18">
        <v>1</v>
      </c>
      <c r="F160" s="17">
        <v>1</v>
      </c>
      <c r="G160" s="19">
        <v>1</v>
      </c>
      <c r="H160" s="17" t="s">
        <v>1</v>
      </c>
      <c r="I160" s="20">
        <v>0</v>
      </c>
      <c r="J160" s="21">
        <v>1</v>
      </c>
      <c r="K160" s="22">
        <v>14</v>
      </c>
      <c r="L160" s="23">
        <v>1</v>
      </c>
      <c r="M160" s="24">
        <f>IF(MAX(0,ROUNDUP(F160*2-I160,0))=0,"",MAX(0,ROUNDUP(F160*2-I160,0)))</f>
        <v>2</v>
      </c>
    </row>
    <row r="161" spans="1:13" x14ac:dyDescent="0.25">
      <c r="A161" s="16" t="s">
        <v>327</v>
      </c>
      <c r="B161" s="16" t="s">
        <v>328</v>
      </c>
      <c r="C161" s="17">
        <v>1</v>
      </c>
      <c r="D161" s="17">
        <v>2</v>
      </c>
      <c r="E161" s="18">
        <v>3</v>
      </c>
      <c r="F161" s="17">
        <v>2</v>
      </c>
      <c r="G161" s="19">
        <v>2</v>
      </c>
      <c r="H161" s="17" t="s">
        <v>1</v>
      </c>
      <c r="I161" s="20">
        <v>1</v>
      </c>
      <c r="J161" s="21">
        <v>1.5</v>
      </c>
      <c r="K161" s="22">
        <v>21</v>
      </c>
      <c r="L161" s="23">
        <v>0.667</v>
      </c>
      <c r="M161" s="24">
        <f>IF(MAX(0,ROUNDUP(F161*2-I161,0))=0,"",MAX(0,ROUNDUP(F161*2-I161,0)))</f>
        <v>3</v>
      </c>
    </row>
    <row r="162" spans="1:13" x14ac:dyDescent="0.25">
      <c r="A162" s="16" t="s">
        <v>329</v>
      </c>
      <c r="B162" s="16" t="s">
        <v>330</v>
      </c>
      <c r="C162" s="17">
        <v>2</v>
      </c>
      <c r="D162" s="17" t="s">
        <v>1</v>
      </c>
      <c r="E162" s="18">
        <v>2</v>
      </c>
      <c r="F162" s="17">
        <v>1</v>
      </c>
      <c r="G162" s="19">
        <v>1</v>
      </c>
      <c r="H162" s="17" t="s">
        <v>1</v>
      </c>
      <c r="I162" s="20">
        <v>1</v>
      </c>
      <c r="J162" s="21">
        <v>2</v>
      </c>
      <c r="K162" s="22">
        <v>28</v>
      </c>
      <c r="L162" s="23">
        <v>0.5</v>
      </c>
      <c r="M162" s="24">
        <f>IF(MAX(0,ROUNDUP(F162*2-I162,0))=0,"",MAX(0,ROUNDUP(F162*2-I162,0)))</f>
        <v>1</v>
      </c>
    </row>
    <row r="163" spans="1:13" x14ac:dyDescent="0.25">
      <c r="A163" s="16" t="s">
        <v>331</v>
      </c>
      <c r="B163" s="16" t="s">
        <v>332</v>
      </c>
      <c r="C163" s="17">
        <v>2</v>
      </c>
      <c r="D163" s="17">
        <v>3</v>
      </c>
      <c r="E163" s="18">
        <v>5</v>
      </c>
      <c r="F163" s="17">
        <v>2</v>
      </c>
      <c r="G163" s="19">
        <v>2</v>
      </c>
      <c r="H163" s="17" t="s">
        <v>1</v>
      </c>
      <c r="I163" s="20">
        <v>3</v>
      </c>
      <c r="J163" s="21">
        <v>2.5</v>
      </c>
      <c r="K163" s="22">
        <v>35</v>
      </c>
      <c r="L163" s="23">
        <v>0.4</v>
      </c>
      <c r="M163" s="24">
        <f>IF(MAX(0,ROUNDUP(F163*2-I163,0))=0,"",MAX(0,ROUNDUP(F163*2-I163,0)))</f>
        <v>1</v>
      </c>
    </row>
    <row r="164" spans="1:13" x14ac:dyDescent="0.25">
      <c r="A164" s="16" t="s">
        <v>333</v>
      </c>
      <c r="B164" s="16" t="s">
        <v>334</v>
      </c>
      <c r="C164" s="17" t="s">
        <v>1</v>
      </c>
      <c r="D164" s="17">
        <v>4</v>
      </c>
      <c r="E164" s="18">
        <v>4</v>
      </c>
      <c r="F164" s="17">
        <v>2</v>
      </c>
      <c r="G164" s="19">
        <v>2</v>
      </c>
      <c r="H164" s="17" t="s">
        <v>1</v>
      </c>
      <c r="I164" s="20">
        <v>2</v>
      </c>
      <c r="J164" s="21">
        <v>2</v>
      </c>
      <c r="K164" s="22">
        <v>28</v>
      </c>
      <c r="L164" s="23">
        <v>0.5</v>
      </c>
      <c r="M164" s="24">
        <f>IF(MAX(0,ROUNDUP(F164*2-I164,0))=0,"",MAX(0,ROUNDUP(F164*2-I164,0)))</f>
        <v>2</v>
      </c>
    </row>
    <row r="165" spans="1:13" x14ac:dyDescent="0.25">
      <c r="A165" s="16" t="s">
        <v>335</v>
      </c>
      <c r="B165" s="16" t="s">
        <v>336</v>
      </c>
      <c r="C165" s="17">
        <v>1</v>
      </c>
      <c r="D165" s="17">
        <v>2</v>
      </c>
      <c r="E165" s="18">
        <v>3</v>
      </c>
      <c r="F165" s="17">
        <v>2</v>
      </c>
      <c r="G165" s="19">
        <v>2</v>
      </c>
      <c r="H165" s="17" t="s">
        <v>1</v>
      </c>
      <c r="I165" s="20">
        <v>1</v>
      </c>
      <c r="J165" s="21">
        <v>1.5</v>
      </c>
      <c r="K165" s="22">
        <v>21</v>
      </c>
      <c r="L165" s="23">
        <v>0.667</v>
      </c>
      <c r="M165" s="24">
        <f>IF(MAX(0,ROUNDUP(F165*2-I165,0))=0,"",MAX(0,ROUNDUP(F165*2-I165,0)))</f>
        <v>3</v>
      </c>
    </row>
    <row r="166" spans="1:13" x14ac:dyDescent="0.25">
      <c r="A166" s="16" t="s">
        <v>337</v>
      </c>
      <c r="B166" s="16" t="s">
        <v>338</v>
      </c>
      <c r="C166" s="17" t="s">
        <v>1</v>
      </c>
      <c r="D166" s="17">
        <v>2</v>
      </c>
      <c r="E166" s="18">
        <v>2</v>
      </c>
      <c r="F166" s="17">
        <v>1</v>
      </c>
      <c r="G166" s="19">
        <v>1</v>
      </c>
      <c r="H166" s="17" t="s">
        <v>1</v>
      </c>
      <c r="I166" s="20">
        <v>1</v>
      </c>
      <c r="J166" s="21">
        <v>2</v>
      </c>
      <c r="K166" s="22">
        <v>28</v>
      </c>
      <c r="L166" s="23">
        <v>0.5</v>
      </c>
      <c r="M166" s="24">
        <f>IF(MAX(0,ROUNDUP(F166*2-I166,0))=0,"",MAX(0,ROUNDUP(F166*2-I166,0)))</f>
        <v>1</v>
      </c>
    </row>
    <row r="167" spans="1:13" x14ac:dyDescent="0.25">
      <c r="A167" s="16" t="s">
        <v>339</v>
      </c>
      <c r="B167" s="16" t="s">
        <v>340</v>
      </c>
      <c r="C167" s="17">
        <v>1</v>
      </c>
      <c r="D167" s="17">
        <v>1</v>
      </c>
      <c r="E167" s="18">
        <v>2</v>
      </c>
      <c r="F167" s="17">
        <v>1</v>
      </c>
      <c r="G167" s="19">
        <v>1</v>
      </c>
      <c r="H167" s="17" t="s">
        <v>1</v>
      </c>
      <c r="I167" s="20">
        <v>1</v>
      </c>
      <c r="J167" s="21">
        <v>2</v>
      </c>
      <c r="K167" s="22">
        <v>28</v>
      </c>
      <c r="L167" s="23">
        <v>0.5</v>
      </c>
      <c r="M167" s="24">
        <f>IF(MAX(0,ROUNDUP(F167*2-I167,0))=0,"",MAX(0,ROUNDUP(F167*2-I167,0)))</f>
        <v>1</v>
      </c>
    </row>
    <row r="168" spans="1:13" x14ac:dyDescent="0.25">
      <c r="A168" s="16" t="s">
        <v>341</v>
      </c>
      <c r="B168" s="16" t="s">
        <v>342</v>
      </c>
      <c r="C168" s="17" t="s">
        <v>1</v>
      </c>
      <c r="D168" s="17">
        <v>3</v>
      </c>
      <c r="E168" s="18">
        <v>3</v>
      </c>
      <c r="F168" s="17">
        <v>2</v>
      </c>
      <c r="G168" s="19">
        <v>2</v>
      </c>
      <c r="H168" s="17" t="s">
        <v>1</v>
      </c>
      <c r="I168" s="20">
        <v>1</v>
      </c>
      <c r="J168" s="21">
        <v>1.5</v>
      </c>
      <c r="K168" s="22">
        <v>21</v>
      </c>
      <c r="L168" s="23">
        <v>0.667</v>
      </c>
      <c r="M168" s="24">
        <f>IF(MAX(0,ROUNDUP(F168*2-I168,0))=0,"",MAX(0,ROUNDUP(F168*2-I168,0)))</f>
        <v>3</v>
      </c>
    </row>
    <row r="169" spans="1:13" x14ac:dyDescent="0.25">
      <c r="A169" s="16" t="s">
        <v>343</v>
      </c>
      <c r="B169" s="16" t="s">
        <v>344</v>
      </c>
      <c r="C169" s="17">
        <v>1</v>
      </c>
      <c r="D169" s="17">
        <v>1</v>
      </c>
      <c r="E169" s="18">
        <v>2</v>
      </c>
      <c r="F169" s="17">
        <v>1</v>
      </c>
      <c r="G169" s="19">
        <v>1</v>
      </c>
      <c r="H169" s="17" t="s">
        <v>1</v>
      </c>
      <c r="I169" s="20">
        <v>1</v>
      </c>
      <c r="J169" s="21">
        <v>2</v>
      </c>
      <c r="K169" s="22">
        <v>28</v>
      </c>
      <c r="L169" s="23">
        <v>0.5</v>
      </c>
      <c r="M169" s="24">
        <f>IF(MAX(0,ROUNDUP(F169*2-I169,0))=0,"",MAX(0,ROUNDUP(F169*2-I169,0)))</f>
        <v>1</v>
      </c>
    </row>
    <row r="170" spans="1:13" x14ac:dyDescent="0.25">
      <c r="A170" s="16" t="s">
        <v>345</v>
      </c>
      <c r="B170" s="16" t="s">
        <v>346</v>
      </c>
      <c r="C170" s="17">
        <v>1</v>
      </c>
      <c r="D170" s="17">
        <v>1</v>
      </c>
      <c r="E170" s="18">
        <v>2</v>
      </c>
      <c r="F170" s="17">
        <v>1</v>
      </c>
      <c r="G170" s="19">
        <v>1</v>
      </c>
      <c r="H170" s="17" t="s">
        <v>1</v>
      </c>
      <c r="I170" s="20">
        <v>1</v>
      </c>
      <c r="J170" s="21">
        <v>2</v>
      </c>
      <c r="K170" s="22">
        <v>28</v>
      </c>
      <c r="L170" s="23">
        <v>0.5</v>
      </c>
      <c r="M170" s="24">
        <f>IF(MAX(0,ROUNDUP(F170*2-I170,0))=0,"",MAX(0,ROUNDUP(F170*2-I170,0)))</f>
        <v>1</v>
      </c>
    </row>
    <row r="171" spans="1:13" x14ac:dyDescent="0.25">
      <c r="A171" s="16" t="s">
        <v>347</v>
      </c>
      <c r="B171" s="16" t="s">
        <v>348</v>
      </c>
      <c r="C171" s="17">
        <v>1</v>
      </c>
      <c r="D171" s="17">
        <v>2</v>
      </c>
      <c r="E171" s="18">
        <v>3</v>
      </c>
      <c r="F171" s="17">
        <v>2</v>
      </c>
      <c r="G171" s="19">
        <v>2</v>
      </c>
      <c r="H171" s="17" t="s">
        <v>1</v>
      </c>
      <c r="I171" s="20">
        <v>1</v>
      </c>
      <c r="J171" s="21">
        <v>1.5</v>
      </c>
      <c r="K171" s="22">
        <v>21</v>
      </c>
      <c r="L171" s="23">
        <v>0.667</v>
      </c>
      <c r="M171" s="24">
        <f>IF(MAX(0,ROUNDUP(F171*2-I171,0))=0,"",MAX(0,ROUNDUP(F171*2-I171,0)))</f>
        <v>3</v>
      </c>
    </row>
    <row r="172" spans="1:13" x14ac:dyDescent="0.25">
      <c r="A172" s="16" t="s">
        <v>349</v>
      </c>
      <c r="B172" s="16" t="s">
        <v>350</v>
      </c>
      <c r="C172" s="17" t="s">
        <v>1</v>
      </c>
      <c r="D172" s="17">
        <v>2</v>
      </c>
      <c r="E172" s="18">
        <v>2</v>
      </c>
      <c r="F172" s="17">
        <v>2</v>
      </c>
      <c r="G172" s="19">
        <v>2</v>
      </c>
      <c r="H172" s="17" t="s">
        <v>1</v>
      </c>
      <c r="I172" s="20">
        <v>0</v>
      </c>
      <c r="J172" s="21">
        <v>1</v>
      </c>
      <c r="K172" s="22">
        <v>14</v>
      </c>
      <c r="L172" s="23">
        <v>1</v>
      </c>
      <c r="M172" s="24">
        <f>IF(MAX(0,ROUNDUP(F172*2-I172,0))=0,"",MAX(0,ROUNDUP(F172*2-I172,0)))</f>
        <v>4</v>
      </c>
    </row>
    <row r="173" spans="1:13" x14ac:dyDescent="0.25">
      <c r="A173" s="16" t="s">
        <v>351</v>
      </c>
      <c r="B173" s="16" t="s">
        <v>352</v>
      </c>
      <c r="C173" s="17">
        <v>1</v>
      </c>
      <c r="D173" s="17">
        <v>1</v>
      </c>
      <c r="E173" s="18">
        <v>2</v>
      </c>
      <c r="F173" s="17">
        <v>1</v>
      </c>
      <c r="G173" s="19">
        <v>1</v>
      </c>
      <c r="H173" s="17" t="s">
        <v>1</v>
      </c>
      <c r="I173" s="20">
        <v>1</v>
      </c>
      <c r="J173" s="21">
        <v>2</v>
      </c>
      <c r="K173" s="22">
        <v>28</v>
      </c>
      <c r="L173" s="23">
        <v>0.5</v>
      </c>
      <c r="M173" s="24">
        <f>IF(MAX(0,ROUNDUP(F173*2-I173,0))=0,"",MAX(0,ROUNDUP(F173*2-I173,0)))</f>
        <v>1</v>
      </c>
    </row>
    <row r="174" spans="1:13" x14ac:dyDescent="0.25">
      <c r="A174" s="16" t="s">
        <v>353</v>
      </c>
      <c r="B174" s="16" t="s">
        <v>354</v>
      </c>
      <c r="C174" s="17" t="s">
        <v>1</v>
      </c>
      <c r="D174" s="17">
        <v>3</v>
      </c>
      <c r="E174" s="18">
        <v>3</v>
      </c>
      <c r="F174" s="17">
        <v>2</v>
      </c>
      <c r="G174" s="19">
        <v>2</v>
      </c>
      <c r="H174" s="17" t="s">
        <v>1</v>
      </c>
      <c r="I174" s="20">
        <v>1</v>
      </c>
      <c r="J174" s="21">
        <v>1.5</v>
      </c>
      <c r="K174" s="22">
        <v>21</v>
      </c>
      <c r="L174" s="23">
        <v>0.667</v>
      </c>
      <c r="M174" s="24">
        <f>IF(MAX(0,ROUNDUP(F174*2-I174,0))=0,"",MAX(0,ROUNDUP(F174*2-I174,0)))</f>
        <v>3</v>
      </c>
    </row>
    <row r="175" spans="1:13" x14ac:dyDescent="0.25">
      <c r="A175" s="16" t="s">
        <v>355</v>
      </c>
      <c r="B175" s="16" t="s">
        <v>356</v>
      </c>
      <c r="C175" s="17">
        <v>1</v>
      </c>
      <c r="D175" s="17">
        <v>2</v>
      </c>
      <c r="E175" s="18">
        <v>3</v>
      </c>
      <c r="F175" s="17">
        <v>2</v>
      </c>
      <c r="G175" s="19">
        <v>2</v>
      </c>
      <c r="H175" s="17" t="s">
        <v>1</v>
      </c>
      <c r="I175" s="20">
        <v>1</v>
      </c>
      <c r="J175" s="21">
        <v>1.5</v>
      </c>
      <c r="K175" s="22">
        <v>21</v>
      </c>
      <c r="L175" s="23">
        <v>0.667</v>
      </c>
      <c r="M175" s="24">
        <f>IF(MAX(0,ROUNDUP(F175*2-I175,0))=0,"",MAX(0,ROUNDUP(F175*2-I175,0)))</f>
        <v>3</v>
      </c>
    </row>
    <row r="176" spans="1:13" x14ac:dyDescent="0.25">
      <c r="A176" s="16" t="s">
        <v>357</v>
      </c>
      <c r="B176" s="16" t="s">
        <v>358</v>
      </c>
      <c r="C176" s="17">
        <v>1</v>
      </c>
      <c r="D176" s="17">
        <v>1</v>
      </c>
      <c r="E176" s="18">
        <v>2</v>
      </c>
      <c r="F176" s="17">
        <v>1</v>
      </c>
      <c r="G176" s="19">
        <v>1</v>
      </c>
      <c r="H176" s="17" t="s">
        <v>1</v>
      </c>
      <c r="I176" s="20">
        <v>1</v>
      </c>
      <c r="J176" s="21">
        <v>2</v>
      </c>
      <c r="K176" s="22">
        <v>28</v>
      </c>
      <c r="L176" s="23">
        <v>0.5</v>
      </c>
      <c r="M176" s="24">
        <f>IF(MAX(0,ROUNDUP(F176*2-I176,0))=0,"",MAX(0,ROUNDUP(F176*2-I176,0)))</f>
        <v>1</v>
      </c>
    </row>
    <row r="177" spans="1:13" x14ac:dyDescent="0.25">
      <c r="A177" s="16" t="s">
        <v>359</v>
      </c>
      <c r="B177" s="16" t="s">
        <v>360</v>
      </c>
      <c r="C177" s="17">
        <v>1</v>
      </c>
      <c r="D177" s="17">
        <v>1</v>
      </c>
      <c r="E177" s="18">
        <v>2</v>
      </c>
      <c r="F177" s="17">
        <v>1</v>
      </c>
      <c r="G177" s="19">
        <v>1</v>
      </c>
      <c r="H177" s="17" t="s">
        <v>1</v>
      </c>
      <c r="I177" s="20">
        <v>1</v>
      </c>
      <c r="J177" s="21">
        <v>2</v>
      </c>
      <c r="K177" s="22">
        <v>28</v>
      </c>
      <c r="L177" s="23">
        <v>0.5</v>
      </c>
      <c r="M177" s="24">
        <f>IF(MAX(0,ROUNDUP(F177*2-I177,0))=0,"",MAX(0,ROUNDUP(F177*2-I177,0)))</f>
        <v>1</v>
      </c>
    </row>
    <row r="178" spans="1:13" x14ac:dyDescent="0.25">
      <c r="A178" s="16" t="s">
        <v>361</v>
      </c>
      <c r="B178" s="16" t="s">
        <v>362</v>
      </c>
      <c r="C178" s="17">
        <v>1</v>
      </c>
      <c r="D178" s="17">
        <v>3</v>
      </c>
      <c r="E178" s="18">
        <v>4</v>
      </c>
      <c r="F178" s="17">
        <v>3</v>
      </c>
      <c r="G178" s="19">
        <v>3</v>
      </c>
      <c r="H178" s="17" t="s">
        <v>1</v>
      </c>
      <c r="I178" s="20">
        <v>1</v>
      </c>
      <c r="J178" s="21">
        <v>1.333</v>
      </c>
      <c r="K178" s="22">
        <v>18.7</v>
      </c>
      <c r="L178" s="23">
        <v>0.75</v>
      </c>
      <c r="M178" s="24">
        <f>IF(MAX(0,ROUNDUP(F178*2-I178,0))=0,"",MAX(0,ROUNDUP(F178*2-I178,0)))</f>
        <v>5</v>
      </c>
    </row>
    <row r="179" spans="1:13" x14ac:dyDescent="0.25">
      <c r="A179" s="16" t="s">
        <v>363</v>
      </c>
      <c r="B179" s="16" t="s">
        <v>364</v>
      </c>
      <c r="C179" s="17">
        <v>1</v>
      </c>
      <c r="D179" s="17">
        <v>1</v>
      </c>
      <c r="E179" s="18">
        <v>2</v>
      </c>
      <c r="F179" s="17">
        <v>1</v>
      </c>
      <c r="G179" s="19">
        <v>1</v>
      </c>
      <c r="H179" s="17" t="s">
        <v>1</v>
      </c>
      <c r="I179" s="20">
        <v>1</v>
      </c>
      <c r="J179" s="21">
        <v>2</v>
      </c>
      <c r="K179" s="22">
        <v>28</v>
      </c>
      <c r="L179" s="23">
        <v>0.5</v>
      </c>
      <c r="M179" s="24">
        <f>IF(MAX(0,ROUNDUP(F179*2-I179,0))=0,"",MAX(0,ROUNDUP(F179*2-I179,0)))</f>
        <v>1</v>
      </c>
    </row>
    <row r="180" spans="1:13" x14ac:dyDescent="0.25">
      <c r="A180" s="16" t="s">
        <v>365</v>
      </c>
      <c r="B180" s="16" t="s">
        <v>366</v>
      </c>
      <c r="C180" s="17">
        <v>1</v>
      </c>
      <c r="D180" s="17">
        <v>2</v>
      </c>
      <c r="E180" s="18">
        <v>3</v>
      </c>
      <c r="F180" s="17">
        <v>2</v>
      </c>
      <c r="G180" s="19">
        <v>2</v>
      </c>
      <c r="H180" s="17" t="s">
        <v>1</v>
      </c>
      <c r="I180" s="20">
        <v>1</v>
      </c>
      <c r="J180" s="21">
        <v>1.5</v>
      </c>
      <c r="K180" s="22">
        <v>21</v>
      </c>
      <c r="L180" s="23">
        <v>0.667</v>
      </c>
      <c r="M180" s="24">
        <f>IF(MAX(0,ROUNDUP(F180*2-I180,0))=0,"",MAX(0,ROUNDUP(F180*2-I180,0)))</f>
        <v>3</v>
      </c>
    </row>
    <row r="181" spans="1:13" x14ac:dyDescent="0.25">
      <c r="A181" s="16" t="s">
        <v>367</v>
      </c>
      <c r="B181" s="16" t="s">
        <v>368</v>
      </c>
      <c r="C181" s="17">
        <v>1</v>
      </c>
      <c r="D181" s="17">
        <v>1</v>
      </c>
      <c r="E181" s="18">
        <v>2</v>
      </c>
      <c r="F181" s="17">
        <v>1</v>
      </c>
      <c r="G181" s="19">
        <v>1</v>
      </c>
      <c r="H181" s="17" t="s">
        <v>1</v>
      </c>
      <c r="I181" s="20">
        <v>1</v>
      </c>
      <c r="J181" s="21">
        <v>2</v>
      </c>
      <c r="K181" s="22">
        <v>28</v>
      </c>
      <c r="L181" s="23">
        <v>0.5</v>
      </c>
      <c r="M181" s="24">
        <f>IF(MAX(0,ROUNDUP(F181*2-I181,0))=0,"",MAX(0,ROUNDUP(F181*2-I181,0)))</f>
        <v>1</v>
      </c>
    </row>
    <row r="182" spans="1:13" x14ac:dyDescent="0.25">
      <c r="A182" s="16" t="s">
        <v>369</v>
      </c>
      <c r="B182" s="16" t="s">
        <v>370</v>
      </c>
      <c r="C182" s="17">
        <v>1</v>
      </c>
      <c r="D182" s="17">
        <v>1</v>
      </c>
      <c r="E182" s="18">
        <v>2</v>
      </c>
      <c r="F182" s="17">
        <v>1</v>
      </c>
      <c r="G182" s="19">
        <v>1</v>
      </c>
      <c r="H182" s="17" t="s">
        <v>1</v>
      </c>
      <c r="I182" s="20">
        <v>1</v>
      </c>
      <c r="J182" s="21">
        <v>2</v>
      </c>
      <c r="K182" s="22">
        <v>28</v>
      </c>
      <c r="L182" s="23">
        <v>0.5</v>
      </c>
      <c r="M182" s="24">
        <f>IF(MAX(0,ROUNDUP(F182*2-I182,0))=0,"",MAX(0,ROUNDUP(F182*2-I182,0)))</f>
        <v>1</v>
      </c>
    </row>
    <row r="183" spans="1:13" x14ac:dyDescent="0.25">
      <c r="A183" s="16" t="s">
        <v>371</v>
      </c>
      <c r="B183" s="16" t="s">
        <v>372</v>
      </c>
      <c r="C183" s="17">
        <v>1</v>
      </c>
      <c r="D183" s="17">
        <v>2</v>
      </c>
      <c r="E183" s="18">
        <v>3</v>
      </c>
      <c r="F183" s="17">
        <v>2</v>
      </c>
      <c r="G183" s="19">
        <v>2</v>
      </c>
      <c r="H183" s="17" t="s">
        <v>1</v>
      </c>
      <c r="I183" s="20">
        <v>1</v>
      </c>
      <c r="J183" s="21">
        <v>1.5</v>
      </c>
      <c r="K183" s="22">
        <v>21</v>
      </c>
      <c r="L183" s="23">
        <v>0.667</v>
      </c>
      <c r="M183" s="24">
        <f>IF(MAX(0,ROUNDUP(F183*2-I183,0))=0,"",MAX(0,ROUNDUP(F183*2-I183,0)))</f>
        <v>3</v>
      </c>
    </row>
    <row r="184" spans="1:13" x14ac:dyDescent="0.25">
      <c r="A184" s="16" t="s">
        <v>373</v>
      </c>
      <c r="B184" s="16" t="s">
        <v>374</v>
      </c>
      <c r="C184" s="17">
        <v>1</v>
      </c>
      <c r="D184" s="17">
        <v>4</v>
      </c>
      <c r="E184" s="18">
        <v>5</v>
      </c>
      <c r="F184" s="17">
        <v>4</v>
      </c>
      <c r="G184" s="19">
        <v>4</v>
      </c>
      <c r="H184" s="17" t="s">
        <v>1</v>
      </c>
      <c r="I184" s="20">
        <v>1</v>
      </c>
      <c r="J184" s="21">
        <v>1.25</v>
      </c>
      <c r="K184" s="22">
        <v>17.5</v>
      </c>
      <c r="L184" s="23">
        <v>0.8</v>
      </c>
      <c r="M184" s="24">
        <f>IF(MAX(0,ROUNDUP(F184*2-I184,0))=0,"",MAX(0,ROUNDUP(F184*2-I184,0)))</f>
        <v>7</v>
      </c>
    </row>
    <row r="185" spans="1:13" x14ac:dyDescent="0.25">
      <c r="A185" s="16" t="s">
        <v>375</v>
      </c>
      <c r="B185" s="16" t="s">
        <v>376</v>
      </c>
      <c r="C185" s="17">
        <v>2</v>
      </c>
      <c r="D185" s="17">
        <v>6</v>
      </c>
      <c r="E185" s="18">
        <v>8</v>
      </c>
      <c r="F185" s="17">
        <v>6</v>
      </c>
      <c r="G185" s="19">
        <v>6</v>
      </c>
      <c r="H185" s="17" t="s">
        <v>1</v>
      </c>
      <c r="I185" s="20">
        <v>2</v>
      </c>
      <c r="J185" s="21">
        <v>1.333</v>
      </c>
      <c r="K185" s="22">
        <v>18.7</v>
      </c>
      <c r="L185" s="23">
        <v>0.75</v>
      </c>
      <c r="M185" s="24">
        <f>IF(MAX(0,ROUNDUP(F185*2-I185,0))=0,"",MAX(0,ROUNDUP(F185*2-I185,0)))</f>
        <v>10</v>
      </c>
    </row>
    <row r="186" spans="1:13" x14ac:dyDescent="0.25">
      <c r="A186" s="16" t="s">
        <v>377</v>
      </c>
      <c r="B186" s="16" t="s">
        <v>378</v>
      </c>
      <c r="C186" s="17">
        <v>1</v>
      </c>
      <c r="D186" s="17">
        <v>3</v>
      </c>
      <c r="E186" s="18">
        <v>4</v>
      </c>
      <c r="F186" s="17">
        <v>2</v>
      </c>
      <c r="G186" s="19">
        <v>2</v>
      </c>
      <c r="H186" s="17" t="s">
        <v>1</v>
      </c>
      <c r="I186" s="20">
        <v>2</v>
      </c>
      <c r="J186" s="21">
        <v>2</v>
      </c>
      <c r="K186" s="22">
        <v>28</v>
      </c>
      <c r="L186" s="23">
        <v>0.5</v>
      </c>
      <c r="M186" s="24">
        <f>IF(MAX(0,ROUNDUP(F186*2-I186,0))=0,"",MAX(0,ROUNDUP(F186*2-I186,0)))</f>
        <v>2</v>
      </c>
    </row>
    <row r="187" spans="1:13" x14ac:dyDescent="0.25">
      <c r="A187" s="16" t="s">
        <v>379</v>
      </c>
      <c r="B187" s="16" t="s">
        <v>380</v>
      </c>
      <c r="C187" s="17" t="s">
        <v>1</v>
      </c>
      <c r="D187" s="17">
        <v>2</v>
      </c>
      <c r="E187" s="18">
        <v>2</v>
      </c>
      <c r="F187" s="17">
        <v>1</v>
      </c>
      <c r="G187" s="19">
        <v>1</v>
      </c>
      <c r="H187" s="17" t="s">
        <v>1</v>
      </c>
      <c r="I187" s="20">
        <v>1</v>
      </c>
      <c r="J187" s="21">
        <v>2</v>
      </c>
      <c r="K187" s="22">
        <v>28</v>
      </c>
      <c r="L187" s="23">
        <v>0.5</v>
      </c>
      <c r="M187" s="24">
        <f>IF(MAX(0,ROUNDUP(F187*2-I187,0))=0,"",MAX(0,ROUNDUP(F187*2-I187,0)))</f>
        <v>1</v>
      </c>
    </row>
    <row r="188" spans="1:13" x14ac:dyDescent="0.25">
      <c r="A188" s="16" t="s">
        <v>381</v>
      </c>
      <c r="B188" s="16" t="s">
        <v>382</v>
      </c>
      <c r="C188" s="17" t="s">
        <v>1</v>
      </c>
      <c r="D188" s="17">
        <v>2</v>
      </c>
      <c r="E188" s="18">
        <v>2</v>
      </c>
      <c r="F188" s="17">
        <v>1</v>
      </c>
      <c r="G188" s="19">
        <v>1</v>
      </c>
      <c r="H188" s="17" t="s">
        <v>1</v>
      </c>
      <c r="I188" s="20">
        <v>1</v>
      </c>
      <c r="J188" s="21">
        <v>2</v>
      </c>
      <c r="K188" s="22">
        <v>28</v>
      </c>
      <c r="L188" s="23">
        <v>0.5</v>
      </c>
      <c r="M188" s="24">
        <f>IF(MAX(0,ROUNDUP(F188*2-I188,0))=0,"",MAX(0,ROUNDUP(F188*2-I188,0)))</f>
        <v>1</v>
      </c>
    </row>
    <row r="189" spans="1:13" x14ac:dyDescent="0.25">
      <c r="A189" s="16" t="s">
        <v>383</v>
      </c>
      <c r="B189" s="16" t="s">
        <v>384</v>
      </c>
      <c r="C189" s="17" t="s">
        <v>1</v>
      </c>
      <c r="D189" s="17">
        <v>2</v>
      </c>
      <c r="E189" s="18">
        <v>2</v>
      </c>
      <c r="F189" s="17">
        <v>1</v>
      </c>
      <c r="G189" s="19">
        <v>1</v>
      </c>
      <c r="H189" s="17" t="s">
        <v>1</v>
      </c>
      <c r="I189" s="20">
        <v>1</v>
      </c>
      <c r="J189" s="21">
        <v>2</v>
      </c>
      <c r="K189" s="22">
        <v>28</v>
      </c>
      <c r="L189" s="23">
        <v>0.5</v>
      </c>
      <c r="M189" s="24">
        <f>IF(MAX(0,ROUNDUP(F189*2-I189,0))=0,"",MAX(0,ROUNDUP(F189*2-I189,0)))</f>
        <v>1</v>
      </c>
    </row>
    <row r="190" spans="1:13" x14ac:dyDescent="0.25">
      <c r="A190" s="16" t="s">
        <v>385</v>
      </c>
      <c r="B190" s="16" t="s">
        <v>386</v>
      </c>
      <c r="C190" s="17" t="s">
        <v>1</v>
      </c>
      <c r="D190" s="17">
        <v>2</v>
      </c>
      <c r="E190" s="18">
        <v>2</v>
      </c>
      <c r="F190" s="17">
        <v>1</v>
      </c>
      <c r="G190" s="19">
        <v>1</v>
      </c>
      <c r="H190" s="17" t="s">
        <v>1</v>
      </c>
      <c r="I190" s="20">
        <v>1</v>
      </c>
      <c r="J190" s="21">
        <v>2</v>
      </c>
      <c r="K190" s="22">
        <v>28</v>
      </c>
      <c r="L190" s="23">
        <v>0.5</v>
      </c>
      <c r="M190" s="24">
        <f>IF(MAX(0,ROUNDUP(F190*2-I190,0))=0,"",MAX(0,ROUNDUP(F190*2-I190,0)))</f>
        <v>1</v>
      </c>
    </row>
    <row r="191" spans="1:13" x14ac:dyDescent="0.25">
      <c r="A191" s="16" t="s">
        <v>387</v>
      </c>
      <c r="B191" s="16" t="s">
        <v>388</v>
      </c>
      <c r="C191" s="17" t="s">
        <v>1</v>
      </c>
      <c r="D191" s="17">
        <v>1</v>
      </c>
      <c r="E191" s="18">
        <v>1</v>
      </c>
      <c r="F191" s="17">
        <v>1</v>
      </c>
      <c r="G191" s="19">
        <v>1</v>
      </c>
      <c r="H191" s="17" t="s">
        <v>1</v>
      </c>
      <c r="I191" s="20">
        <v>0</v>
      </c>
      <c r="J191" s="21">
        <v>1</v>
      </c>
      <c r="K191" s="22">
        <v>14</v>
      </c>
      <c r="L191" s="23">
        <v>1</v>
      </c>
      <c r="M191" s="24">
        <f>IF(MAX(0,ROUNDUP(F191*2-I191,0))=0,"",MAX(0,ROUNDUP(F191*2-I191,0)))</f>
        <v>2</v>
      </c>
    </row>
    <row r="192" spans="1:13" x14ac:dyDescent="0.25">
      <c r="A192" s="16" t="s">
        <v>389</v>
      </c>
      <c r="B192" s="16" t="s">
        <v>390</v>
      </c>
      <c r="C192" s="17" t="s">
        <v>1</v>
      </c>
      <c r="D192" s="17">
        <v>2</v>
      </c>
      <c r="E192" s="18">
        <v>2</v>
      </c>
      <c r="F192" s="17">
        <v>1</v>
      </c>
      <c r="G192" s="19">
        <v>1</v>
      </c>
      <c r="H192" s="17" t="s">
        <v>1</v>
      </c>
      <c r="I192" s="20">
        <v>1</v>
      </c>
      <c r="J192" s="21">
        <v>2</v>
      </c>
      <c r="K192" s="22">
        <v>28</v>
      </c>
      <c r="L192" s="23">
        <v>0.5</v>
      </c>
      <c r="M192" s="24">
        <f>IF(MAX(0,ROUNDUP(F192*2-I192,0))=0,"",MAX(0,ROUNDUP(F192*2-I192,0)))</f>
        <v>1</v>
      </c>
    </row>
    <row r="193" spans="1:13" x14ac:dyDescent="0.25">
      <c r="A193" s="16" t="s">
        <v>391</v>
      </c>
      <c r="B193" s="16" t="s">
        <v>392</v>
      </c>
      <c r="C193" s="17" t="s">
        <v>1</v>
      </c>
      <c r="D193" s="17">
        <v>2</v>
      </c>
      <c r="E193" s="18">
        <v>2</v>
      </c>
      <c r="F193" s="17">
        <v>1</v>
      </c>
      <c r="G193" s="19">
        <v>1</v>
      </c>
      <c r="H193" s="17" t="s">
        <v>1</v>
      </c>
      <c r="I193" s="20">
        <v>1</v>
      </c>
      <c r="J193" s="21">
        <v>2</v>
      </c>
      <c r="K193" s="22">
        <v>28</v>
      </c>
      <c r="L193" s="23">
        <v>0.5</v>
      </c>
      <c r="M193" s="24">
        <f>IF(MAX(0,ROUNDUP(F193*2-I193,0))=0,"",MAX(0,ROUNDUP(F193*2-I193,0)))</f>
        <v>1</v>
      </c>
    </row>
    <row r="194" spans="1:13" x14ac:dyDescent="0.25">
      <c r="A194" s="16" t="s">
        <v>393</v>
      </c>
      <c r="B194" s="16" t="s">
        <v>394</v>
      </c>
      <c r="C194" s="17">
        <v>1</v>
      </c>
      <c r="D194" s="17">
        <v>1</v>
      </c>
      <c r="E194" s="18">
        <v>2</v>
      </c>
      <c r="F194" s="17">
        <v>1</v>
      </c>
      <c r="G194" s="19">
        <v>1</v>
      </c>
      <c r="H194" s="17" t="s">
        <v>1</v>
      </c>
      <c r="I194" s="20">
        <v>1</v>
      </c>
      <c r="J194" s="21">
        <v>2</v>
      </c>
      <c r="K194" s="22">
        <v>28</v>
      </c>
      <c r="L194" s="23">
        <v>0.5</v>
      </c>
      <c r="M194" s="24">
        <f>IF(MAX(0,ROUNDUP(F194*2-I194,0))=0,"",MAX(0,ROUNDUP(F194*2-I194,0)))</f>
        <v>1</v>
      </c>
    </row>
    <row r="195" spans="1:13" x14ac:dyDescent="0.25">
      <c r="A195" s="16" t="s">
        <v>395</v>
      </c>
      <c r="B195" s="16" t="s">
        <v>396</v>
      </c>
      <c r="C195" s="17">
        <v>6</v>
      </c>
      <c r="D195" s="17">
        <v>35</v>
      </c>
      <c r="E195" s="18">
        <v>41</v>
      </c>
      <c r="F195" s="17">
        <v>33</v>
      </c>
      <c r="G195" s="19">
        <v>31</v>
      </c>
      <c r="H195" s="17">
        <v>2</v>
      </c>
      <c r="I195" s="20">
        <v>8</v>
      </c>
      <c r="J195" s="21">
        <v>1.242</v>
      </c>
      <c r="K195" s="22">
        <v>17.4</v>
      </c>
      <c r="L195" s="23">
        <v>0.805</v>
      </c>
      <c r="M195" s="24">
        <f>IF(MAX(0,ROUNDUP(F195*2-I195,0))=0,"",MAX(0,ROUNDUP(F195*2-I195,0)))</f>
        <v>58</v>
      </c>
    </row>
    <row r="196" spans="1:13" x14ac:dyDescent="0.25">
      <c r="A196" s="16" t="s">
        <v>397</v>
      </c>
      <c r="B196" s="16" t="s">
        <v>398</v>
      </c>
      <c r="C196" s="17" t="s">
        <v>1</v>
      </c>
      <c r="D196" s="17">
        <v>14</v>
      </c>
      <c r="E196" s="18">
        <v>14</v>
      </c>
      <c r="F196" s="17">
        <v>8</v>
      </c>
      <c r="G196" s="19">
        <v>8</v>
      </c>
      <c r="H196" s="17" t="s">
        <v>1</v>
      </c>
      <c r="I196" s="20">
        <v>6</v>
      </c>
      <c r="J196" s="21">
        <v>1.75</v>
      </c>
      <c r="K196" s="22">
        <v>24.5</v>
      </c>
      <c r="L196" s="23">
        <v>0.571</v>
      </c>
      <c r="M196" s="24">
        <f>IF(MAX(0,ROUNDUP(F196*2-I196,0))=0,"",MAX(0,ROUNDUP(F196*2-I196,0)))</f>
        <v>10</v>
      </c>
    </row>
    <row r="197" spans="1:13" x14ac:dyDescent="0.25">
      <c r="A197" s="16" t="s">
        <v>399</v>
      </c>
      <c r="B197" s="16" t="s">
        <v>400</v>
      </c>
      <c r="C197" s="17">
        <v>1</v>
      </c>
      <c r="D197" s="17">
        <v>3</v>
      </c>
      <c r="E197" s="18">
        <v>4</v>
      </c>
      <c r="F197" s="17">
        <v>2</v>
      </c>
      <c r="G197" s="19">
        <v>2</v>
      </c>
      <c r="H197" s="17" t="s">
        <v>1</v>
      </c>
      <c r="I197" s="20">
        <v>2</v>
      </c>
      <c r="J197" s="21">
        <v>2</v>
      </c>
      <c r="K197" s="22">
        <v>28</v>
      </c>
      <c r="L197" s="23">
        <v>0.5</v>
      </c>
      <c r="M197" s="24">
        <f>IF(MAX(0,ROUNDUP(F197*2-I197,0))=0,"",MAX(0,ROUNDUP(F197*2-I197,0)))</f>
        <v>2</v>
      </c>
    </row>
    <row r="198" spans="1:13" x14ac:dyDescent="0.25">
      <c r="A198" s="16" t="s">
        <v>401</v>
      </c>
      <c r="B198" s="16" t="s">
        <v>402</v>
      </c>
      <c r="C198" s="17">
        <v>2</v>
      </c>
      <c r="D198" s="17" t="s">
        <v>1</v>
      </c>
      <c r="E198" s="18">
        <v>2</v>
      </c>
      <c r="F198" s="17">
        <v>1</v>
      </c>
      <c r="G198" s="19">
        <v>1</v>
      </c>
      <c r="H198" s="17" t="s">
        <v>1</v>
      </c>
      <c r="I198" s="20">
        <v>1</v>
      </c>
      <c r="J198" s="21">
        <v>2</v>
      </c>
      <c r="K198" s="22">
        <v>28</v>
      </c>
      <c r="L198" s="23">
        <v>0.5</v>
      </c>
      <c r="M198" s="24">
        <f>IF(MAX(0,ROUNDUP(F198*2-I198,0))=0,"",MAX(0,ROUNDUP(F198*2-I198,0)))</f>
        <v>1</v>
      </c>
    </row>
    <row r="199" spans="1:13" x14ac:dyDescent="0.25">
      <c r="A199" s="16" t="s">
        <v>403</v>
      </c>
      <c r="B199" s="16" t="s">
        <v>404</v>
      </c>
      <c r="C199" s="17">
        <v>1</v>
      </c>
      <c r="D199" s="17">
        <v>3</v>
      </c>
      <c r="E199" s="18">
        <v>4</v>
      </c>
      <c r="F199" s="17">
        <v>2</v>
      </c>
      <c r="G199" s="19">
        <v>2</v>
      </c>
      <c r="H199" s="17" t="s">
        <v>1</v>
      </c>
      <c r="I199" s="20">
        <v>2</v>
      </c>
      <c r="J199" s="21">
        <v>2</v>
      </c>
      <c r="K199" s="22">
        <v>28</v>
      </c>
      <c r="L199" s="23">
        <v>0.5</v>
      </c>
      <c r="M199" s="24">
        <f>IF(MAX(0,ROUNDUP(F199*2-I199,0))=0,"",MAX(0,ROUNDUP(F199*2-I199,0)))</f>
        <v>2</v>
      </c>
    </row>
    <row r="200" spans="1:13" x14ac:dyDescent="0.25">
      <c r="A200" s="16" t="s">
        <v>405</v>
      </c>
      <c r="B200" s="16" t="s">
        <v>406</v>
      </c>
      <c r="C200" s="17">
        <v>2</v>
      </c>
      <c r="D200" s="17">
        <v>5</v>
      </c>
      <c r="E200" s="18">
        <v>7</v>
      </c>
      <c r="F200" s="17">
        <v>5</v>
      </c>
      <c r="G200" s="19">
        <v>5</v>
      </c>
      <c r="H200" s="17" t="s">
        <v>1</v>
      </c>
      <c r="I200" s="20">
        <v>2</v>
      </c>
      <c r="J200" s="21">
        <v>1.4</v>
      </c>
      <c r="K200" s="22">
        <v>19.6</v>
      </c>
      <c r="L200" s="23">
        <v>0.714</v>
      </c>
      <c r="M200" s="24">
        <f>IF(MAX(0,ROUNDUP(F200*2-I200,0))=0,"",MAX(0,ROUNDUP(F200*2-I200,0)))</f>
        <v>8</v>
      </c>
    </row>
    <row r="201" spans="1:13" x14ac:dyDescent="0.25">
      <c r="A201" s="16" t="s">
        <v>407</v>
      </c>
      <c r="B201" s="16" t="s">
        <v>408</v>
      </c>
      <c r="C201" s="17">
        <v>2</v>
      </c>
      <c r="D201" s="17">
        <v>7</v>
      </c>
      <c r="E201" s="18">
        <v>9</v>
      </c>
      <c r="F201" s="17">
        <v>8</v>
      </c>
      <c r="G201" s="19">
        <v>8</v>
      </c>
      <c r="H201" s="17" t="s">
        <v>1</v>
      </c>
      <c r="I201" s="20">
        <v>1</v>
      </c>
      <c r="J201" s="21">
        <v>1.125</v>
      </c>
      <c r="K201" s="22">
        <v>15.8</v>
      </c>
      <c r="L201" s="23">
        <v>0.889</v>
      </c>
      <c r="M201" s="24">
        <f>IF(MAX(0,ROUNDUP(F201*2-I201,0))=0,"",MAX(0,ROUNDUP(F201*2-I201,0)))</f>
        <v>15</v>
      </c>
    </row>
    <row r="202" spans="1:13" x14ac:dyDescent="0.25">
      <c r="A202" s="16" t="s">
        <v>409</v>
      </c>
      <c r="B202" s="16" t="s">
        <v>410</v>
      </c>
      <c r="C202" s="17">
        <v>2</v>
      </c>
      <c r="D202" s="17">
        <v>5</v>
      </c>
      <c r="E202" s="18">
        <v>7</v>
      </c>
      <c r="F202" s="17">
        <v>4</v>
      </c>
      <c r="G202" s="19">
        <v>4</v>
      </c>
      <c r="H202" s="17" t="s">
        <v>1</v>
      </c>
      <c r="I202" s="20">
        <v>3</v>
      </c>
      <c r="J202" s="21">
        <v>1.75</v>
      </c>
      <c r="K202" s="22">
        <v>24.5</v>
      </c>
      <c r="L202" s="23">
        <v>0.571</v>
      </c>
      <c r="M202" s="24">
        <f>IF(MAX(0,ROUNDUP(F202*2-I202,0))=0,"",MAX(0,ROUNDUP(F202*2-I202,0)))</f>
        <v>5</v>
      </c>
    </row>
    <row r="203" spans="1:13" x14ac:dyDescent="0.25">
      <c r="A203" s="16" t="s">
        <v>411</v>
      </c>
      <c r="B203" s="16" t="s">
        <v>412</v>
      </c>
      <c r="C203" s="17" t="s">
        <v>1</v>
      </c>
      <c r="D203" s="17">
        <v>11</v>
      </c>
      <c r="E203" s="18">
        <v>11</v>
      </c>
      <c r="F203" s="17">
        <v>9</v>
      </c>
      <c r="G203" s="19">
        <v>9</v>
      </c>
      <c r="H203" s="17" t="s">
        <v>1</v>
      </c>
      <c r="I203" s="20">
        <v>2</v>
      </c>
      <c r="J203" s="21">
        <v>1.222</v>
      </c>
      <c r="K203" s="22">
        <v>17.1</v>
      </c>
      <c r="L203" s="23">
        <v>0.818</v>
      </c>
      <c r="M203" s="24">
        <f>IF(MAX(0,ROUNDUP(F203*2-I203,0))=0,"",MAX(0,ROUNDUP(F203*2-I203,0)))</f>
        <v>16</v>
      </c>
    </row>
    <row r="204" spans="1:13" x14ac:dyDescent="0.25">
      <c r="A204" s="16" t="s">
        <v>413</v>
      </c>
      <c r="B204" s="16" t="s">
        <v>414</v>
      </c>
      <c r="C204" s="17">
        <v>2</v>
      </c>
      <c r="D204" s="17">
        <v>3</v>
      </c>
      <c r="E204" s="18">
        <v>5</v>
      </c>
      <c r="F204" s="17">
        <v>3</v>
      </c>
      <c r="G204" s="19">
        <v>3</v>
      </c>
      <c r="H204" s="17" t="s">
        <v>1</v>
      </c>
      <c r="I204" s="20">
        <v>2</v>
      </c>
      <c r="J204" s="21">
        <v>1.667</v>
      </c>
      <c r="K204" s="22">
        <v>23.3</v>
      </c>
      <c r="L204" s="23">
        <v>0.6</v>
      </c>
      <c r="M204" s="24">
        <f>IF(MAX(0,ROUNDUP(F204*2-I204,0))=0,"",MAX(0,ROUNDUP(F204*2-I204,0)))</f>
        <v>4</v>
      </c>
    </row>
    <row r="205" spans="1:13" x14ac:dyDescent="0.25">
      <c r="A205" s="16" t="s">
        <v>415</v>
      </c>
      <c r="B205" s="16" t="s">
        <v>416</v>
      </c>
      <c r="C205" s="17">
        <v>1</v>
      </c>
      <c r="D205" s="17">
        <v>6</v>
      </c>
      <c r="E205" s="18">
        <v>7</v>
      </c>
      <c r="F205" s="17">
        <v>5</v>
      </c>
      <c r="G205" s="19">
        <v>5</v>
      </c>
      <c r="H205" s="17" t="s">
        <v>1</v>
      </c>
      <c r="I205" s="20">
        <v>2</v>
      </c>
      <c r="J205" s="21">
        <v>1.4</v>
      </c>
      <c r="K205" s="22">
        <v>19.6</v>
      </c>
      <c r="L205" s="23">
        <v>0.714</v>
      </c>
      <c r="M205" s="24">
        <f>IF(MAX(0,ROUNDUP(F205*2-I205,0))=0,"",MAX(0,ROUNDUP(F205*2-I205,0)))</f>
        <v>8</v>
      </c>
    </row>
    <row r="206" spans="1:13" x14ac:dyDescent="0.25">
      <c r="A206" s="16" t="s">
        <v>417</v>
      </c>
      <c r="B206" s="16" t="s">
        <v>418</v>
      </c>
      <c r="C206" s="17">
        <v>1</v>
      </c>
      <c r="D206" s="17">
        <v>3</v>
      </c>
      <c r="E206" s="18">
        <v>4</v>
      </c>
      <c r="F206" s="17">
        <v>2</v>
      </c>
      <c r="G206" s="19">
        <v>2</v>
      </c>
      <c r="H206" s="17" t="s">
        <v>1</v>
      </c>
      <c r="I206" s="20">
        <v>2</v>
      </c>
      <c r="J206" s="21">
        <v>2</v>
      </c>
      <c r="K206" s="22">
        <v>28</v>
      </c>
      <c r="L206" s="23">
        <v>0.5</v>
      </c>
      <c r="M206" s="24">
        <f>IF(MAX(0,ROUNDUP(F206*2-I206,0))=0,"",MAX(0,ROUNDUP(F206*2-I206,0)))</f>
        <v>2</v>
      </c>
    </row>
    <row r="207" spans="1:13" x14ac:dyDescent="0.25">
      <c r="A207" s="16" t="s">
        <v>419</v>
      </c>
      <c r="B207" s="16" t="s">
        <v>420</v>
      </c>
      <c r="C207" s="17">
        <v>2</v>
      </c>
      <c r="D207" s="17">
        <v>2</v>
      </c>
      <c r="E207" s="18">
        <v>4</v>
      </c>
      <c r="F207" s="17">
        <v>3</v>
      </c>
      <c r="G207" s="19">
        <v>3</v>
      </c>
      <c r="H207" s="17" t="s">
        <v>1</v>
      </c>
      <c r="I207" s="20">
        <v>1</v>
      </c>
      <c r="J207" s="21">
        <v>1.333</v>
      </c>
      <c r="K207" s="22">
        <v>18.7</v>
      </c>
      <c r="L207" s="23">
        <v>0.75</v>
      </c>
      <c r="M207" s="24">
        <f>IF(MAX(0,ROUNDUP(F207*2-I207,0))=0,"",MAX(0,ROUNDUP(F207*2-I207,0)))</f>
        <v>5</v>
      </c>
    </row>
    <row r="208" spans="1:13" x14ac:dyDescent="0.25">
      <c r="A208" s="16" t="s">
        <v>421</v>
      </c>
      <c r="B208" s="16" t="s">
        <v>422</v>
      </c>
      <c r="C208" s="17">
        <v>1</v>
      </c>
      <c r="D208" s="17">
        <v>1</v>
      </c>
      <c r="E208" s="18">
        <v>2</v>
      </c>
      <c r="F208" s="17">
        <v>1</v>
      </c>
      <c r="G208" s="19">
        <v>1</v>
      </c>
      <c r="H208" s="17" t="s">
        <v>1</v>
      </c>
      <c r="I208" s="20">
        <v>1</v>
      </c>
      <c r="J208" s="21">
        <v>2</v>
      </c>
      <c r="K208" s="22">
        <v>28</v>
      </c>
      <c r="L208" s="23">
        <v>0.5</v>
      </c>
      <c r="M208" s="24">
        <f>IF(MAX(0,ROUNDUP(F208*2-I208,0))=0,"",MAX(0,ROUNDUP(F208*2-I208,0)))</f>
        <v>1</v>
      </c>
    </row>
    <row r="209" spans="1:13" x14ac:dyDescent="0.25">
      <c r="A209" s="16" t="s">
        <v>423</v>
      </c>
      <c r="B209" s="16" t="s">
        <v>424</v>
      </c>
      <c r="C209" s="17">
        <v>3</v>
      </c>
      <c r="D209" s="17">
        <v>3</v>
      </c>
      <c r="E209" s="18">
        <v>6</v>
      </c>
      <c r="F209" s="17">
        <v>5</v>
      </c>
      <c r="G209" s="19">
        <v>5</v>
      </c>
      <c r="H209" s="17" t="s">
        <v>1</v>
      </c>
      <c r="I209" s="20">
        <v>1</v>
      </c>
      <c r="J209" s="21">
        <v>1.2</v>
      </c>
      <c r="K209" s="22">
        <v>16.8</v>
      </c>
      <c r="L209" s="23">
        <v>0.833</v>
      </c>
      <c r="M209" s="24">
        <f>IF(MAX(0,ROUNDUP(F209*2-I209,0))=0,"",MAX(0,ROUNDUP(F209*2-I209,0)))</f>
        <v>9</v>
      </c>
    </row>
    <row r="210" spans="1:13" x14ac:dyDescent="0.25">
      <c r="A210" s="16" t="s">
        <v>425</v>
      </c>
      <c r="B210" s="16" t="s">
        <v>426</v>
      </c>
      <c r="C210" s="17">
        <v>2</v>
      </c>
      <c r="D210" s="17">
        <v>2</v>
      </c>
      <c r="E210" s="18">
        <v>4</v>
      </c>
      <c r="F210" s="17">
        <v>2</v>
      </c>
      <c r="G210" s="19">
        <v>2</v>
      </c>
      <c r="H210" s="17" t="s">
        <v>1</v>
      </c>
      <c r="I210" s="20">
        <v>2</v>
      </c>
      <c r="J210" s="21">
        <v>2</v>
      </c>
      <c r="K210" s="22">
        <v>28</v>
      </c>
      <c r="L210" s="23">
        <v>0.5</v>
      </c>
      <c r="M210" s="24">
        <f>IF(MAX(0,ROUNDUP(F210*2-I210,0))=0,"",MAX(0,ROUNDUP(F210*2-I210,0)))</f>
        <v>2</v>
      </c>
    </row>
    <row r="211" spans="1:13" x14ac:dyDescent="0.25">
      <c r="A211" s="16" t="s">
        <v>427</v>
      </c>
      <c r="B211" s="16" t="s">
        <v>428</v>
      </c>
      <c r="C211" s="17">
        <v>2</v>
      </c>
      <c r="D211" s="17" t="s">
        <v>1</v>
      </c>
      <c r="E211" s="18">
        <v>2</v>
      </c>
      <c r="F211" s="17">
        <v>1</v>
      </c>
      <c r="G211" s="19">
        <v>1</v>
      </c>
      <c r="H211" s="17" t="s">
        <v>1</v>
      </c>
      <c r="I211" s="20">
        <v>1</v>
      </c>
      <c r="J211" s="21">
        <v>2</v>
      </c>
      <c r="K211" s="22">
        <v>28</v>
      </c>
      <c r="L211" s="23">
        <v>0.5</v>
      </c>
      <c r="M211" s="24">
        <f>IF(MAX(0,ROUNDUP(F211*2-I211,0))=0,"",MAX(0,ROUNDUP(F211*2-I211,0)))</f>
        <v>1</v>
      </c>
    </row>
    <row r="212" spans="1:13" x14ac:dyDescent="0.25">
      <c r="A212" s="16" t="s">
        <v>429</v>
      </c>
      <c r="B212" s="16" t="s">
        <v>430</v>
      </c>
      <c r="C212" s="17">
        <v>1</v>
      </c>
      <c r="D212" s="17">
        <v>26</v>
      </c>
      <c r="E212" s="18">
        <v>27</v>
      </c>
      <c r="F212" s="17">
        <v>19</v>
      </c>
      <c r="G212" s="19">
        <v>19</v>
      </c>
      <c r="H212" s="17" t="s">
        <v>1</v>
      </c>
      <c r="I212" s="20">
        <v>8</v>
      </c>
      <c r="J212" s="21">
        <v>1.421</v>
      </c>
      <c r="K212" s="22">
        <v>19.9</v>
      </c>
      <c r="L212" s="23">
        <v>0.704</v>
      </c>
      <c r="M212" s="24">
        <f>IF(MAX(0,ROUNDUP(F212*2-I212,0))=0,"",MAX(0,ROUNDUP(F212*2-I212,0)))</f>
        <v>30</v>
      </c>
    </row>
    <row r="213" spans="1:13" x14ac:dyDescent="0.25">
      <c r="A213" s="16" t="s">
        <v>431</v>
      </c>
      <c r="B213" s="16" t="s">
        <v>432</v>
      </c>
      <c r="C213" s="17">
        <v>2</v>
      </c>
      <c r="D213" s="17">
        <v>4</v>
      </c>
      <c r="E213" s="18">
        <v>6</v>
      </c>
      <c r="F213" s="17">
        <v>5</v>
      </c>
      <c r="G213" s="19">
        <v>5</v>
      </c>
      <c r="H213" s="17" t="s">
        <v>1</v>
      </c>
      <c r="I213" s="20">
        <v>1</v>
      </c>
      <c r="J213" s="21">
        <v>1.2</v>
      </c>
      <c r="K213" s="22">
        <v>16.8</v>
      </c>
      <c r="L213" s="23">
        <v>0.833</v>
      </c>
      <c r="M213" s="24">
        <f>IF(MAX(0,ROUNDUP(F213*2-I213,0))=0,"",MAX(0,ROUNDUP(F213*2-I213,0)))</f>
        <v>9</v>
      </c>
    </row>
    <row r="214" spans="1:13" x14ac:dyDescent="0.25">
      <c r="A214" s="16" t="s">
        <v>433</v>
      </c>
      <c r="B214" s="16" t="s">
        <v>434</v>
      </c>
      <c r="C214" s="17">
        <v>2</v>
      </c>
      <c r="D214" s="17">
        <v>7</v>
      </c>
      <c r="E214" s="18">
        <v>9</v>
      </c>
      <c r="F214" s="17">
        <v>5</v>
      </c>
      <c r="G214" s="19">
        <v>5</v>
      </c>
      <c r="H214" s="17" t="s">
        <v>1</v>
      </c>
      <c r="I214" s="20">
        <v>4</v>
      </c>
      <c r="J214" s="21">
        <v>1.8</v>
      </c>
      <c r="K214" s="22">
        <v>25.2</v>
      </c>
      <c r="L214" s="23">
        <v>0.556</v>
      </c>
      <c r="M214" s="24">
        <f>IF(MAX(0,ROUNDUP(F214*2-I214,0))=0,"",MAX(0,ROUNDUP(F214*2-I214,0)))</f>
        <v>6</v>
      </c>
    </row>
    <row r="215" spans="1:13" x14ac:dyDescent="0.25">
      <c r="A215" s="16" t="s">
        <v>435</v>
      </c>
      <c r="B215" s="16" t="s">
        <v>436</v>
      </c>
      <c r="C215" s="17">
        <v>3</v>
      </c>
      <c r="D215" s="17" t="s">
        <v>1</v>
      </c>
      <c r="E215" s="18">
        <v>3</v>
      </c>
      <c r="F215" s="17">
        <v>2</v>
      </c>
      <c r="G215" s="19">
        <v>2</v>
      </c>
      <c r="H215" s="17" t="s">
        <v>1</v>
      </c>
      <c r="I215" s="20">
        <v>1</v>
      </c>
      <c r="J215" s="21">
        <v>1.5</v>
      </c>
      <c r="K215" s="22">
        <v>21</v>
      </c>
      <c r="L215" s="23">
        <v>0.667</v>
      </c>
      <c r="M215" s="24">
        <f>IF(MAX(0,ROUNDUP(F215*2-I215,0))=0,"",MAX(0,ROUNDUP(F215*2-I215,0)))</f>
        <v>3</v>
      </c>
    </row>
    <row r="216" spans="1:13" x14ac:dyDescent="0.25">
      <c r="A216" s="16" t="s">
        <v>437</v>
      </c>
      <c r="B216" s="16" t="s">
        <v>438</v>
      </c>
      <c r="C216" s="17">
        <v>2</v>
      </c>
      <c r="D216" s="17">
        <v>2</v>
      </c>
      <c r="E216" s="18">
        <v>4</v>
      </c>
      <c r="F216" s="17">
        <v>2</v>
      </c>
      <c r="G216" s="19">
        <v>2</v>
      </c>
      <c r="H216" s="17" t="s">
        <v>1</v>
      </c>
      <c r="I216" s="20">
        <v>2</v>
      </c>
      <c r="J216" s="21">
        <v>2</v>
      </c>
      <c r="K216" s="22">
        <v>28</v>
      </c>
      <c r="L216" s="23">
        <v>0.5</v>
      </c>
      <c r="M216" s="24">
        <f>IF(MAX(0,ROUNDUP(F216*2-I216,0))=0,"",MAX(0,ROUNDUP(F216*2-I216,0)))</f>
        <v>2</v>
      </c>
    </row>
    <row r="217" spans="1:13" x14ac:dyDescent="0.25">
      <c r="A217" s="16" t="s">
        <v>439</v>
      </c>
      <c r="B217" s="16" t="s">
        <v>440</v>
      </c>
      <c r="C217" s="17">
        <v>1</v>
      </c>
      <c r="D217" s="17" t="s">
        <v>1</v>
      </c>
      <c r="E217" s="18">
        <v>1</v>
      </c>
      <c r="F217" s="17">
        <v>1</v>
      </c>
      <c r="G217" s="19">
        <v>1</v>
      </c>
      <c r="H217" s="17" t="s">
        <v>1</v>
      </c>
      <c r="I217" s="20">
        <v>0</v>
      </c>
      <c r="J217" s="21">
        <v>1</v>
      </c>
      <c r="K217" s="22">
        <v>14</v>
      </c>
      <c r="L217" s="23">
        <v>1</v>
      </c>
      <c r="M217" s="24">
        <f>IF(MAX(0,ROUNDUP(F217*2-I217,0))=0,"",MAX(0,ROUNDUP(F217*2-I217,0)))</f>
        <v>2</v>
      </c>
    </row>
    <row r="218" spans="1:13" x14ac:dyDescent="0.25">
      <c r="A218" s="16" t="s">
        <v>441</v>
      </c>
      <c r="B218" s="16" t="s">
        <v>442</v>
      </c>
      <c r="C218" s="17">
        <v>1</v>
      </c>
      <c r="D218" s="17" t="s">
        <v>1</v>
      </c>
      <c r="E218" s="18">
        <v>1</v>
      </c>
      <c r="F218" s="17">
        <v>1</v>
      </c>
      <c r="G218" s="19">
        <v>1</v>
      </c>
      <c r="H218" s="17" t="s">
        <v>1</v>
      </c>
      <c r="I218" s="20">
        <v>0</v>
      </c>
      <c r="J218" s="21">
        <v>1</v>
      </c>
      <c r="K218" s="22">
        <v>14</v>
      </c>
      <c r="L218" s="23">
        <v>1</v>
      </c>
      <c r="M218" s="24">
        <f>IF(MAX(0,ROUNDUP(F218*2-I218,0))=0,"",MAX(0,ROUNDUP(F218*2-I218,0)))</f>
        <v>2</v>
      </c>
    </row>
    <row r="219" spans="1:13" x14ac:dyDescent="0.25">
      <c r="A219" s="16" t="s">
        <v>443</v>
      </c>
      <c r="B219" s="16" t="s">
        <v>444</v>
      </c>
      <c r="C219" s="17">
        <v>2</v>
      </c>
      <c r="D219" s="17">
        <v>2</v>
      </c>
      <c r="E219" s="18">
        <v>4</v>
      </c>
      <c r="F219" s="17">
        <v>2</v>
      </c>
      <c r="G219" s="19">
        <v>2</v>
      </c>
      <c r="H219" s="17" t="s">
        <v>1</v>
      </c>
      <c r="I219" s="20">
        <v>2</v>
      </c>
      <c r="J219" s="21">
        <v>2</v>
      </c>
      <c r="K219" s="22">
        <v>28</v>
      </c>
      <c r="L219" s="23">
        <v>0.5</v>
      </c>
      <c r="M219" s="24">
        <f>IF(MAX(0,ROUNDUP(F219*2-I219,0))=0,"",MAX(0,ROUNDUP(F219*2-I219,0)))</f>
        <v>2</v>
      </c>
    </row>
    <row r="220" spans="1:13" x14ac:dyDescent="0.25">
      <c r="A220" s="16" t="s">
        <v>445</v>
      </c>
      <c r="B220" s="16" t="s">
        <v>446</v>
      </c>
      <c r="C220" s="17">
        <v>1</v>
      </c>
      <c r="D220" s="17">
        <v>1</v>
      </c>
      <c r="E220" s="18">
        <v>2</v>
      </c>
      <c r="F220" s="17">
        <v>1</v>
      </c>
      <c r="G220" s="19">
        <v>1</v>
      </c>
      <c r="H220" s="17" t="s">
        <v>1</v>
      </c>
      <c r="I220" s="20">
        <v>1</v>
      </c>
      <c r="J220" s="21">
        <v>2</v>
      </c>
      <c r="K220" s="22">
        <v>28</v>
      </c>
      <c r="L220" s="23">
        <v>0.5</v>
      </c>
      <c r="M220" s="24">
        <f>IF(MAX(0,ROUNDUP(F220*2-I220,0))=0,"",MAX(0,ROUNDUP(F220*2-I220,0)))</f>
        <v>1</v>
      </c>
    </row>
    <row r="221" spans="1:13" x14ac:dyDescent="0.25">
      <c r="A221" s="16" t="s">
        <v>447</v>
      </c>
      <c r="B221" s="16" t="s">
        <v>448</v>
      </c>
      <c r="C221" s="17">
        <v>1</v>
      </c>
      <c r="D221" s="17">
        <v>2</v>
      </c>
      <c r="E221" s="18">
        <v>3</v>
      </c>
      <c r="F221" s="17">
        <v>2</v>
      </c>
      <c r="G221" s="19">
        <v>2</v>
      </c>
      <c r="H221" s="17" t="s">
        <v>1</v>
      </c>
      <c r="I221" s="20">
        <v>1</v>
      </c>
      <c r="J221" s="21">
        <v>1.5</v>
      </c>
      <c r="K221" s="22">
        <v>21</v>
      </c>
      <c r="L221" s="23">
        <v>0.667</v>
      </c>
      <c r="M221" s="24">
        <f>IF(MAX(0,ROUNDUP(F221*2-I221,0))=0,"",MAX(0,ROUNDUP(F221*2-I221,0)))</f>
        <v>3</v>
      </c>
    </row>
    <row r="222" spans="1:13" x14ac:dyDescent="0.25">
      <c r="A222" s="16" t="s">
        <v>449</v>
      </c>
      <c r="B222" s="16" t="s">
        <v>450</v>
      </c>
      <c r="C222" s="17">
        <v>2</v>
      </c>
      <c r="D222" s="17">
        <v>2</v>
      </c>
      <c r="E222" s="18">
        <v>4</v>
      </c>
      <c r="F222" s="17">
        <v>2</v>
      </c>
      <c r="G222" s="19">
        <v>2</v>
      </c>
      <c r="H222" s="17" t="s">
        <v>1</v>
      </c>
      <c r="I222" s="20">
        <v>2</v>
      </c>
      <c r="J222" s="21">
        <v>2</v>
      </c>
      <c r="K222" s="22">
        <v>28</v>
      </c>
      <c r="L222" s="23">
        <v>0.5</v>
      </c>
      <c r="M222" s="24">
        <f>IF(MAX(0,ROUNDUP(F222*2-I222,0))=0,"",MAX(0,ROUNDUP(F222*2-I222,0)))</f>
        <v>2</v>
      </c>
    </row>
    <row r="223" spans="1:13" x14ac:dyDescent="0.25">
      <c r="A223" s="16" t="s">
        <v>451</v>
      </c>
      <c r="B223" s="16" t="s">
        <v>452</v>
      </c>
      <c r="C223" s="17">
        <v>1</v>
      </c>
      <c r="D223" s="17">
        <v>1</v>
      </c>
      <c r="E223" s="18">
        <v>2</v>
      </c>
      <c r="F223" s="17">
        <v>1</v>
      </c>
      <c r="G223" s="19">
        <v>1</v>
      </c>
      <c r="H223" s="17" t="s">
        <v>1</v>
      </c>
      <c r="I223" s="20">
        <v>1</v>
      </c>
      <c r="J223" s="21">
        <v>2</v>
      </c>
      <c r="K223" s="22">
        <v>28</v>
      </c>
      <c r="L223" s="23">
        <v>0.5</v>
      </c>
      <c r="M223" s="24">
        <f>IF(MAX(0,ROUNDUP(F223*2-I223,0))=0,"",MAX(0,ROUNDUP(F223*2-I223,0)))</f>
        <v>1</v>
      </c>
    </row>
    <row r="224" spans="1:13" x14ac:dyDescent="0.25">
      <c r="A224" s="16" t="s">
        <v>453</v>
      </c>
      <c r="B224" s="16" t="s">
        <v>454</v>
      </c>
      <c r="C224" s="17" t="s">
        <v>1</v>
      </c>
      <c r="D224" s="17">
        <v>2</v>
      </c>
      <c r="E224" s="18">
        <v>2</v>
      </c>
      <c r="F224" s="17">
        <v>1</v>
      </c>
      <c r="G224" s="19">
        <v>1</v>
      </c>
      <c r="H224" s="17" t="s">
        <v>1</v>
      </c>
      <c r="I224" s="20">
        <v>1</v>
      </c>
      <c r="J224" s="21">
        <v>2</v>
      </c>
      <c r="K224" s="22">
        <v>28</v>
      </c>
      <c r="L224" s="23">
        <v>0.5</v>
      </c>
      <c r="M224" s="24">
        <f>IF(MAX(0,ROUNDUP(F224*2-I224,0))=0,"",MAX(0,ROUNDUP(F224*2-I224,0)))</f>
        <v>1</v>
      </c>
    </row>
    <row r="225" spans="1:13" x14ac:dyDescent="0.25">
      <c r="A225" s="16" t="s">
        <v>455</v>
      </c>
      <c r="B225" s="16" t="s">
        <v>456</v>
      </c>
      <c r="C225" s="17">
        <v>1</v>
      </c>
      <c r="D225" s="17">
        <v>1</v>
      </c>
      <c r="E225" s="18">
        <v>2</v>
      </c>
      <c r="F225" s="17">
        <v>1</v>
      </c>
      <c r="G225" s="19">
        <v>1</v>
      </c>
      <c r="H225" s="17" t="s">
        <v>1</v>
      </c>
      <c r="I225" s="20">
        <v>1</v>
      </c>
      <c r="J225" s="21">
        <v>2</v>
      </c>
      <c r="K225" s="22">
        <v>28</v>
      </c>
      <c r="L225" s="23">
        <v>0.5</v>
      </c>
      <c r="M225" s="24">
        <f>IF(MAX(0,ROUNDUP(F225*2-I225,0))=0,"",MAX(0,ROUNDUP(F225*2-I225,0)))</f>
        <v>1</v>
      </c>
    </row>
    <row r="226" spans="1:13" x14ac:dyDescent="0.25">
      <c r="A226" s="16" t="s">
        <v>457</v>
      </c>
      <c r="B226" s="16" t="s">
        <v>458</v>
      </c>
      <c r="C226" s="17">
        <v>1</v>
      </c>
      <c r="D226" s="17">
        <v>2</v>
      </c>
      <c r="E226" s="18">
        <v>3</v>
      </c>
      <c r="F226" s="17">
        <v>2</v>
      </c>
      <c r="G226" s="19">
        <v>2</v>
      </c>
      <c r="H226" s="17" t="s">
        <v>1</v>
      </c>
      <c r="I226" s="20">
        <v>1</v>
      </c>
      <c r="J226" s="21">
        <v>1.5</v>
      </c>
      <c r="K226" s="22">
        <v>21</v>
      </c>
      <c r="L226" s="23">
        <v>0.667</v>
      </c>
      <c r="M226" s="24">
        <f>IF(MAX(0,ROUNDUP(F226*2-I226,0))=0,"",MAX(0,ROUNDUP(F226*2-I226,0)))</f>
        <v>3</v>
      </c>
    </row>
    <row r="227" spans="1:13" x14ac:dyDescent="0.25">
      <c r="A227" s="16" t="s">
        <v>459</v>
      </c>
      <c r="B227" s="16" t="s">
        <v>460</v>
      </c>
      <c r="C227" s="17">
        <v>2</v>
      </c>
      <c r="D227" s="17">
        <v>1</v>
      </c>
      <c r="E227" s="18">
        <v>3</v>
      </c>
      <c r="F227" s="17">
        <v>2</v>
      </c>
      <c r="G227" s="19">
        <v>1</v>
      </c>
      <c r="H227" s="17">
        <v>1</v>
      </c>
      <c r="I227" s="20">
        <v>1</v>
      </c>
      <c r="J227" s="21">
        <v>1.5</v>
      </c>
      <c r="K227" s="22">
        <v>21</v>
      </c>
      <c r="L227" s="23">
        <v>0.667</v>
      </c>
      <c r="M227" s="24">
        <f>IF(MAX(0,ROUNDUP(F227*2-I227,0))=0,"",MAX(0,ROUNDUP(F227*2-I227,0)))</f>
        <v>3</v>
      </c>
    </row>
    <row r="228" spans="1:13" x14ac:dyDescent="0.25">
      <c r="A228" s="16" t="s">
        <v>461</v>
      </c>
      <c r="B228" s="16" t="s">
        <v>462</v>
      </c>
      <c r="C228" s="17">
        <v>2</v>
      </c>
      <c r="D228" s="17">
        <v>1</v>
      </c>
      <c r="E228" s="18">
        <v>3</v>
      </c>
      <c r="F228" s="17">
        <v>2</v>
      </c>
      <c r="G228" s="19">
        <v>2</v>
      </c>
      <c r="H228" s="17" t="s">
        <v>1</v>
      </c>
      <c r="I228" s="20">
        <v>1</v>
      </c>
      <c r="J228" s="21">
        <v>1.5</v>
      </c>
      <c r="K228" s="22">
        <v>21</v>
      </c>
      <c r="L228" s="23">
        <v>0.667</v>
      </c>
      <c r="M228" s="24">
        <f>IF(MAX(0,ROUNDUP(F228*2-I228,0))=0,"",MAX(0,ROUNDUP(F228*2-I228,0)))</f>
        <v>3</v>
      </c>
    </row>
    <row r="229" spans="1:13" x14ac:dyDescent="0.25">
      <c r="A229" s="16" t="s">
        <v>463</v>
      </c>
      <c r="B229" s="16" t="s">
        <v>464</v>
      </c>
      <c r="C229" s="17">
        <v>1</v>
      </c>
      <c r="D229" s="17">
        <v>1</v>
      </c>
      <c r="E229" s="18">
        <v>2</v>
      </c>
      <c r="F229" s="17">
        <v>1</v>
      </c>
      <c r="G229" s="19" t="s">
        <v>1</v>
      </c>
      <c r="H229" s="17">
        <v>1</v>
      </c>
      <c r="I229" s="20">
        <v>1</v>
      </c>
      <c r="J229" s="21">
        <v>2</v>
      </c>
      <c r="K229" s="22">
        <v>28</v>
      </c>
      <c r="L229" s="23">
        <v>0.5</v>
      </c>
      <c r="M229" s="24">
        <f>IF(MAX(0,ROUNDUP(F229*2-I229,0))=0,"",MAX(0,ROUNDUP(F229*2-I229,0)))</f>
        <v>1</v>
      </c>
    </row>
    <row r="230" spans="1:13" x14ac:dyDescent="0.25">
      <c r="A230" s="16" t="s">
        <v>465</v>
      </c>
      <c r="B230" s="16" t="s">
        <v>466</v>
      </c>
      <c r="C230" s="17">
        <v>2</v>
      </c>
      <c r="D230" s="17" t="s">
        <v>1</v>
      </c>
      <c r="E230" s="18">
        <v>2</v>
      </c>
      <c r="F230" s="17">
        <v>1</v>
      </c>
      <c r="G230" s="19" t="s">
        <v>1</v>
      </c>
      <c r="H230" s="17">
        <v>1</v>
      </c>
      <c r="I230" s="20">
        <v>1</v>
      </c>
      <c r="J230" s="21">
        <v>2</v>
      </c>
      <c r="K230" s="22">
        <v>28</v>
      </c>
      <c r="L230" s="23">
        <v>0.5</v>
      </c>
      <c r="M230" s="24">
        <f>IF(MAX(0,ROUNDUP(F230*2-I230,0))=0,"",MAX(0,ROUNDUP(F230*2-I230,0)))</f>
        <v>1</v>
      </c>
    </row>
    <row r="231" spans="1:13" x14ac:dyDescent="0.25">
      <c r="A231" s="16" t="s">
        <v>467</v>
      </c>
      <c r="B231" s="16" t="s">
        <v>468</v>
      </c>
      <c r="C231" s="17">
        <v>2</v>
      </c>
      <c r="D231" s="17">
        <v>2</v>
      </c>
      <c r="E231" s="18">
        <v>4</v>
      </c>
      <c r="F231" s="17">
        <v>2</v>
      </c>
      <c r="G231" s="19">
        <v>2</v>
      </c>
      <c r="H231" s="17" t="s">
        <v>1</v>
      </c>
      <c r="I231" s="20">
        <v>2</v>
      </c>
      <c r="J231" s="21">
        <v>2</v>
      </c>
      <c r="K231" s="22">
        <v>28</v>
      </c>
      <c r="L231" s="23">
        <v>0.5</v>
      </c>
      <c r="M231" s="24">
        <f>IF(MAX(0,ROUNDUP(F231*2-I231,0))=0,"",MAX(0,ROUNDUP(F231*2-I231,0)))</f>
        <v>2</v>
      </c>
    </row>
    <row r="232" spans="1:13" x14ac:dyDescent="0.25">
      <c r="A232" s="16" t="s">
        <v>469</v>
      </c>
      <c r="B232" s="16" t="s">
        <v>470</v>
      </c>
      <c r="C232" s="17">
        <v>2</v>
      </c>
      <c r="D232" s="17" t="s">
        <v>1</v>
      </c>
      <c r="E232" s="18">
        <v>2</v>
      </c>
      <c r="F232" s="17">
        <v>1</v>
      </c>
      <c r="G232" s="19" t="s">
        <v>1</v>
      </c>
      <c r="H232" s="17">
        <v>1</v>
      </c>
      <c r="I232" s="20">
        <v>1</v>
      </c>
      <c r="J232" s="21">
        <v>2</v>
      </c>
      <c r="K232" s="22">
        <v>28</v>
      </c>
      <c r="L232" s="23">
        <v>0.5</v>
      </c>
      <c r="M232" s="24">
        <f>IF(MAX(0,ROUNDUP(F232*2-I232,0))=0,"",MAX(0,ROUNDUP(F232*2-I232,0)))</f>
        <v>1</v>
      </c>
    </row>
    <row r="233" spans="1:13" x14ac:dyDescent="0.25">
      <c r="A233" s="16" t="s">
        <v>471</v>
      </c>
      <c r="B233" s="16" t="s">
        <v>472</v>
      </c>
      <c r="C233" s="17">
        <v>1</v>
      </c>
      <c r="D233" s="17" t="s">
        <v>1</v>
      </c>
      <c r="E233" s="18">
        <v>1</v>
      </c>
      <c r="F233" s="17">
        <v>1</v>
      </c>
      <c r="G233" s="19">
        <v>1</v>
      </c>
      <c r="H233" s="17" t="s">
        <v>1</v>
      </c>
      <c r="I233" s="20">
        <v>0</v>
      </c>
      <c r="J233" s="21">
        <v>1</v>
      </c>
      <c r="K233" s="22">
        <v>14</v>
      </c>
      <c r="L233" s="23">
        <v>1</v>
      </c>
      <c r="M233" s="24">
        <f>IF(MAX(0,ROUNDUP(F233*2-I233,0))=0,"",MAX(0,ROUNDUP(F233*2-I233,0)))</f>
        <v>2</v>
      </c>
    </row>
    <row r="234" spans="1:13" x14ac:dyDescent="0.25">
      <c r="A234" s="16" t="s">
        <v>473</v>
      </c>
      <c r="B234" s="16" t="s">
        <v>474</v>
      </c>
      <c r="C234" s="17">
        <v>2</v>
      </c>
      <c r="D234" s="17">
        <v>2</v>
      </c>
      <c r="E234" s="18">
        <v>4</v>
      </c>
      <c r="F234" s="17">
        <v>2</v>
      </c>
      <c r="G234" s="19">
        <v>2</v>
      </c>
      <c r="H234" s="17" t="s">
        <v>1</v>
      </c>
      <c r="I234" s="20">
        <v>2</v>
      </c>
      <c r="J234" s="21">
        <v>2</v>
      </c>
      <c r="K234" s="22">
        <v>28</v>
      </c>
      <c r="L234" s="23">
        <v>0.5</v>
      </c>
      <c r="M234" s="24">
        <f>IF(MAX(0,ROUNDUP(F234*2-I234,0))=0,"",MAX(0,ROUNDUP(F234*2-I234,0)))</f>
        <v>2</v>
      </c>
    </row>
    <row r="235" spans="1:13" x14ac:dyDescent="0.25">
      <c r="A235" s="16" t="s">
        <v>475</v>
      </c>
      <c r="B235" s="16" t="s">
        <v>476</v>
      </c>
      <c r="C235" s="17" t="s">
        <v>1</v>
      </c>
      <c r="D235" s="17">
        <v>1</v>
      </c>
      <c r="E235" s="18">
        <v>1</v>
      </c>
      <c r="F235" s="17">
        <v>1</v>
      </c>
      <c r="G235" s="19">
        <v>1</v>
      </c>
      <c r="H235" s="17" t="s">
        <v>1</v>
      </c>
      <c r="I235" s="20">
        <v>0</v>
      </c>
      <c r="J235" s="21">
        <v>1</v>
      </c>
      <c r="K235" s="22">
        <v>14</v>
      </c>
      <c r="L235" s="23">
        <v>1</v>
      </c>
      <c r="M235" s="24">
        <f>IF(MAX(0,ROUNDUP(F235*2-I235,0))=0,"",MAX(0,ROUNDUP(F235*2-I235,0)))</f>
        <v>2</v>
      </c>
    </row>
    <row r="236" spans="1:13" x14ac:dyDescent="0.25">
      <c r="A236" s="16" t="s">
        <v>477</v>
      </c>
      <c r="B236" s="16" t="s">
        <v>478</v>
      </c>
      <c r="C236" s="17" t="s">
        <v>1</v>
      </c>
      <c r="D236" s="17">
        <v>3</v>
      </c>
      <c r="E236" s="18">
        <v>3</v>
      </c>
      <c r="F236" s="17">
        <v>2</v>
      </c>
      <c r="G236" s="19">
        <v>2</v>
      </c>
      <c r="H236" s="17" t="s">
        <v>1</v>
      </c>
      <c r="I236" s="20">
        <v>1</v>
      </c>
      <c r="J236" s="21">
        <v>1.5</v>
      </c>
      <c r="K236" s="22">
        <v>21</v>
      </c>
      <c r="L236" s="23">
        <v>0.667</v>
      </c>
      <c r="M236" s="24">
        <f>IF(MAX(0,ROUNDUP(F236*2-I236,0))=0,"",MAX(0,ROUNDUP(F236*2-I236,0)))</f>
        <v>3</v>
      </c>
    </row>
    <row r="237" spans="1:13" x14ac:dyDescent="0.25">
      <c r="A237" s="16" t="s">
        <v>479</v>
      </c>
      <c r="B237" s="16" t="s">
        <v>480</v>
      </c>
      <c r="C237" s="17">
        <v>2</v>
      </c>
      <c r="D237" s="17" t="s">
        <v>1</v>
      </c>
      <c r="E237" s="18">
        <v>2</v>
      </c>
      <c r="F237" s="17">
        <v>1</v>
      </c>
      <c r="G237" s="19">
        <v>1</v>
      </c>
      <c r="H237" s="17" t="s">
        <v>1</v>
      </c>
      <c r="I237" s="20">
        <v>1</v>
      </c>
      <c r="J237" s="21">
        <v>2</v>
      </c>
      <c r="K237" s="22">
        <v>28</v>
      </c>
      <c r="L237" s="23">
        <v>0.5</v>
      </c>
      <c r="M237" s="24">
        <f>IF(MAX(0,ROUNDUP(F237*2-I237,0))=0,"",MAX(0,ROUNDUP(F237*2-I237,0)))</f>
        <v>1</v>
      </c>
    </row>
    <row r="238" spans="1:13" x14ac:dyDescent="0.25">
      <c r="A238" s="16" t="s">
        <v>481</v>
      </c>
      <c r="B238" s="16" t="s">
        <v>482</v>
      </c>
      <c r="C238" s="17">
        <v>1</v>
      </c>
      <c r="D238" s="17">
        <v>2</v>
      </c>
      <c r="E238" s="18">
        <v>3</v>
      </c>
      <c r="F238" s="17">
        <v>2</v>
      </c>
      <c r="G238" s="19">
        <v>2</v>
      </c>
      <c r="H238" s="17" t="s">
        <v>1</v>
      </c>
      <c r="I238" s="20">
        <v>1</v>
      </c>
      <c r="J238" s="21">
        <v>1.5</v>
      </c>
      <c r="K238" s="22">
        <v>21</v>
      </c>
      <c r="L238" s="23">
        <v>0.667</v>
      </c>
      <c r="M238" s="24">
        <f>IF(MAX(0,ROUNDUP(F238*2-I238,0))=0,"",MAX(0,ROUNDUP(F238*2-I238,0)))</f>
        <v>3</v>
      </c>
    </row>
    <row r="239" spans="1:13" x14ac:dyDescent="0.25">
      <c r="A239" s="16" t="s">
        <v>483</v>
      </c>
      <c r="B239" s="16" t="s">
        <v>484</v>
      </c>
      <c r="C239" s="17">
        <v>2</v>
      </c>
      <c r="D239" s="17" t="s">
        <v>1</v>
      </c>
      <c r="E239" s="18">
        <v>2</v>
      </c>
      <c r="F239" s="17">
        <v>1</v>
      </c>
      <c r="G239" s="19">
        <v>1</v>
      </c>
      <c r="H239" s="17" t="s">
        <v>1</v>
      </c>
      <c r="I239" s="20">
        <v>1</v>
      </c>
      <c r="J239" s="21">
        <v>2</v>
      </c>
      <c r="K239" s="22">
        <v>28</v>
      </c>
      <c r="L239" s="23">
        <v>0.5</v>
      </c>
      <c r="M239" s="24">
        <f>IF(MAX(0,ROUNDUP(F239*2-I239,0))=0,"",MAX(0,ROUNDUP(F239*2-I239,0)))</f>
        <v>1</v>
      </c>
    </row>
    <row r="240" spans="1:13" x14ac:dyDescent="0.25">
      <c r="A240" s="16" t="s">
        <v>485</v>
      </c>
      <c r="B240" s="16" t="s">
        <v>486</v>
      </c>
      <c r="C240" s="17">
        <v>1</v>
      </c>
      <c r="D240" s="17">
        <v>2</v>
      </c>
      <c r="E240" s="18">
        <v>3</v>
      </c>
      <c r="F240" s="17">
        <v>2</v>
      </c>
      <c r="G240" s="19">
        <v>2</v>
      </c>
      <c r="H240" s="17" t="s">
        <v>1</v>
      </c>
      <c r="I240" s="20">
        <v>1</v>
      </c>
      <c r="J240" s="21">
        <v>1.5</v>
      </c>
      <c r="K240" s="22">
        <v>21</v>
      </c>
      <c r="L240" s="23">
        <v>0.667</v>
      </c>
      <c r="M240" s="24">
        <f>IF(MAX(0,ROUNDUP(F240*2-I240,0))=0,"",MAX(0,ROUNDUP(F240*2-I240,0)))</f>
        <v>3</v>
      </c>
    </row>
    <row r="241" spans="1:13" x14ac:dyDescent="0.25">
      <c r="A241" s="16" t="s">
        <v>487</v>
      </c>
      <c r="B241" s="16" t="s">
        <v>488</v>
      </c>
      <c r="C241" s="17">
        <v>2</v>
      </c>
      <c r="D241" s="17" t="s">
        <v>1</v>
      </c>
      <c r="E241" s="18">
        <v>2</v>
      </c>
      <c r="F241" s="17">
        <v>1</v>
      </c>
      <c r="G241" s="19">
        <v>1</v>
      </c>
      <c r="H241" s="17" t="s">
        <v>1</v>
      </c>
      <c r="I241" s="20">
        <v>1</v>
      </c>
      <c r="J241" s="21">
        <v>2</v>
      </c>
      <c r="K241" s="22">
        <v>28</v>
      </c>
      <c r="L241" s="23">
        <v>0.5</v>
      </c>
      <c r="M241" s="24">
        <f>IF(MAX(0,ROUNDUP(F241*2-I241,0))=0,"",MAX(0,ROUNDUP(F241*2-I241,0)))</f>
        <v>1</v>
      </c>
    </row>
    <row r="242" spans="1:13" x14ac:dyDescent="0.25">
      <c r="A242" s="16" t="s">
        <v>489</v>
      </c>
      <c r="B242" s="16" t="s">
        <v>490</v>
      </c>
      <c r="C242" s="17">
        <v>2</v>
      </c>
      <c r="D242" s="17">
        <v>1</v>
      </c>
      <c r="E242" s="18">
        <v>3</v>
      </c>
      <c r="F242" s="17">
        <v>2</v>
      </c>
      <c r="G242" s="19">
        <v>2</v>
      </c>
      <c r="H242" s="17" t="s">
        <v>1</v>
      </c>
      <c r="I242" s="20">
        <v>1</v>
      </c>
      <c r="J242" s="21">
        <v>1.5</v>
      </c>
      <c r="K242" s="22">
        <v>21</v>
      </c>
      <c r="L242" s="23">
        <v>0.667</v>
      </c>
      <c r="M242" s="24">
        <f>IF(MAX(0,ROUNDUP(F242*2-I242,0))=0,"",MAX(0,ROUNDUP(F242*2-I242,0)))</f>
        <v>3</v>
      </c>
    </row>
    <row r="243" spans="1:13" x14ac:dyDescent="0.25">
      <c r="A243" s="16" t="s">
        <v>491</v>
      </c>
      <c r="B243" s="16" t="s">
        <v>492</v>
      </c>
      <c r="C243" s="17">
        <v>2</v>
      </c>
      <c r="D243" s="17">
        <v>6</v>
      </c>
      <c r="E243" s="18">
        <v>8</v>
      </c>
      <c r="F243" s="17">
        <v>7</v>
      </c>
      <c r="G243" s="19">
        <v>5</v>
      </c>
      <c r="H243" s="17">
        <v>2</v>
      </c>
      <c r="I243" s="20">
        <v>1</v>
      </c>
      <c r="J243" s="21">
        <v>1.143</v>
      </c>
      <c r="K243" s="22">
        <v>16</v>
      </c>
      <c r="L243" s="23">
        <v>0.875</v>
      </c>
      <c r="M243" s="24">
        <f>IF(MAX(0,ROUNDUP(F243*2-I243,0))=0,"",MAX(0,ROUNDUP(F243*2-I243,0)))</f>
        <v>13</v>
      </c>
    </row>
    <row r="244" spans="1:13" x14ac:dyDescent="0.25">
      <c r="A244" s="16" t="s">
        <v>493</v>
      </c>
      <c r="B244" s="16" t="s">
        <v>494</v>
      </c>
      <c r="C244" s="17">
        <v>1</v>
      </c>
      <c r="D244" s="17">
        <v>2</v>
      </c>
      <c r="E244" s="18">
        <v>3</v>
      </c>
      <c r="F244" s="17">
        <v>2</v>
      </c>
      <c r="G244" s="19">
        <v>2</v>
      </c>
      <c r="H244" s="17" t="s">
        <v>1</v>
      </c>
      <c r="I244" s="20">
        <v>1</v>
      </c>
      <c r="J244" s="21">
        <v>1.5</v>
      </c>
      <c r="K244" s="22">
        <v>21</v>
      </c>
      <c r="L244" s="23">
        <v>0.667</v>
      </c>
      <c r="M244" s="24">
        <f>IF(MAX(0,ROUNDUP(F244*2-I244,0))=0,"",MAX(0,ROUNDUP(F244*2-I244,0)))</f>
        <v>3</v>
      </c>
    </row>
    <row r="245" spans="1:13" x14ac:dyDescent="0.25">
      <c r="A245" s="16" t="s">
        <v>495</v>
      </c>
      <c r="B245" s="16" t="s">
        <v>496</v>
      </c>
      <c r="C245" s="17">
        <v>1</v>
      </c>
      <c r="D245" s="17">
        <v>3</v>
      </c>
      <c r="E245" s="18">
        <v>4</v>
      </c>
      <c r="F245" s="17">
        <v>3</v>
      </c>
      <c r="G245" s="19">
        <v>3</v>
      </c>
      <c r="H245" s="17" t="s">
        <v>1</v>
      </c>
      <c r="I245" s="20">
        <v>1</v>
      </c>
      <c r="J245" s="21">
        <v>1.333</v>
      </c>
      <c r="K245" s="22">
        <v>18.7</v>
      </c>
      <c r="L245" s="23">
        <v>0.75</v>
      </c>
      <c r="M245" s="24">
        <f>IF(MAX(0,ROUNDUP(F245*2-I245,0))=0,"",MAX(0,ROUNDUP(F245*2-I245,0)))</f>
        <v>5</v>
      </c>
    </row>
    <row r="246" spans="1:13" x14ac:dyDescent="0.25">
      <c r="A246" s="16" t="s">
        <v>497</v>
      </c>
      <c r="B246" s="16" t="s">
        <v>498</v>
      </c>
      <c r="C246" s="17">
        <v>1</v>
      </c>
      <c r="D246" s="17">
        <v>2</v>
      </c>
      <c r="E246" s="18">
        <v>3</v>
      </c>
      <c r="F246" s="17">
        <v>3</v>
      </c>
      <c r="G246" s="19">
        <v>3</v>
      </c>
      <c r="H246" s="17" t="s">
        <v>1</v>
      </c>
      <c r="I246" s="20">
        <v>0</v>
      </c>
      <c r="J246" s="21">
        <v>1</v>
      </c>
      <c r="K246" s="22">
        <v>14</v>
      </c>
      <c r="L246" s="23">
        <v>1</v>
      </c>
      <c r="M246" s="24">
        <f>IF(MAX(0,ROUNDUP(F246*2-I246,0))=0,"",MAX(0,ROUNDUP(F246*2-I246,0)))</f>
        <v>6</v>
      </c>
    </row>
    <row r="247" spans="1:13" x14ac:dyDescent="0.25">
      <c r="A247" s="16" t="s">
        <v>499</v>
      </c>
      <c r="B247" s="16" t="s">
        <v>500</v>
      </c>
      <c r="C247" s="17">
        <v>1</v>
      </c>
      <c r="D247" s="17">
        <v>1</v>
      </c>
      <c r="E247" s="18">
        <v>2</v>
      </c>
      <c r="F247" s="17">
        <v>1</v>
      </c>
      <c r="G247" s="19">
        <v>1</v>
      </c>
      <c r="H247" s="17" t="s">
        <v>1</v>
      </c>
      <c r="I247" s="20">
        <v>1</v>
      </c>
      <c r="J247" s="21">
        <v>2</v>
      </c>
      <c r="K247" s="22">
        <v>28</v>
      </c>
      <c r="L247" s="23">
        <v>0.5</v>
      </c>
      <c r="M247" s="24">
        <f>IF(MAX(0,ROUNDUP(F247*2-I247,0))=0,"",MAX(0,ROUNDUP(F247*2-I247,0)))</f>
        <v>1</v>
      </c>
    </row>
    <row r="248" spans="1:13" x14ac:dyDescent="0.25">
      <c r="A248" s="16" t="s">
        <v>501</v>
      </c>
      <c r="B248" s="16" t="s">
        <v>502</v>
      </c>
      <c r="C248" s="17">
        <v>1</v>
      </c>
      <c r="D248" s="17">
        <v>1</v>
      </c>
      <c r="E248" s="18">
        <v>2</v>
      </c>
      <c r="F248" s="17">
        <v>1</v>
      </c>
      <c r="G248" s="19">
        <v>1</v>
      </c>
      <c r="H248" s="17" t="s">
        <v>1</v>
      </c>
      <c r="I248" s="20">
        <v>1</v>
      </c>
      <c r="J248" s="21">
        <v>2</v>
      </c>
      <c r="K248" s="22">
        <v>28</v>
      </c>
      <c r="L248" s="23">
        <v>0.5</v>
      </c>
      <c r="M248" s="24">
        <f>IF(MAX(0,ROUNDUP(F248*2-I248,0))=0,"",MAX(0,ROUNDUP(F248*2-I248,0)))</f>
        <v>1</v>
      </c>
    </row>
    <row r="249" spans="1:13" x14ac:dyDescent="0.25">
      <c r="A249" s="16" t="s">
        <v>503</v>
      </c>
      <c r="B249" s="16" t="s">
        <v>504</v>
      </c>
      <c r="C249" s="17">
        <v>1</v>
      </c>
      <c r="D249" s="17" t="s">
        <v>1</v>
      </c>
      <c r="E249" s="18">
        <v>1</v>
      </c>
      <c r="F249" s="17">
        <v>1</v>
      </c>
      <c r="G249" s="19">
        <v>1</v>
      </c>
      <c r="H249" s="17" t="s">
        <v>1</v>
      </c>
      <c r="I249" s="20">
        <v>0</v>
      </c>
      <c r="J249" s="21">
        <v>1</v>
      </c>
      <c r="K249" s="22">
        <v>14</v>
      </c>
      <c r="L249" s="23">
        <v>1</v>
      </c>
      <c r="M249" s="24">
        <f>IF(MAX(0,ROUNDUP(F249*2-I249,0))=0,"",MAX(0,ROUNDUP(F249*2-I249,0)))</f>
        <v>2</v>
      </c>
    </row>
    <row r="250" spans="1:13" x14ac:dyDescent="0.25">
      <c r="A250" s="16" t="s">
        <v>505</v>
      </c>
      <c r="B250" s="16" t="s">
        <v>506</v>
      </c>
      <c r="C250" s="17">
        <v>1</v>
      </c>
      <c r="D250" s="17">
        <v>2</v>
      </c>
      <c r="E250" s="18">
        <v>3</v>
      </c>
      <c r="F250" s="17">
        <v>2</v>
      </c>
      <c r="G250" s="19">
        <v>2</v>
      </c>
      <c r="H250" s="17" t="s">
        <v>1</v>
      </c>
      <c r="I250" s="20">
        <v>1</v>
      </c>
      <c r="J250" s="21">
        <v>1.5</v>
      </c>
      <c r="K250" s="22">
        <v>21</v>
      </c>
      <c r="L250" s="23">
        <v>0.667</v>
      </c>
      <c r="M250" s="24">
        <f>IF(MAX(0,ROUNDUP(F250*2-I250,0))=0,"",MAX(0,ROUNDUP(F250*2-I250,0)))</f>
        <v>3</v>
      </c>
    </row>
    <row r="251" spans="1:13" x14ac:dyDescent="0.25">
      <c r="A251" s="16" t="s">
        <v>507</v>
      </c>
      <c r="B251" s="16" t="s">
        <v>508</v>
      </c>
      <c r="C251" s="17">
        <v>1</v>
      </c>
      <c r="D251" s="17">
        <v>2</v>
      </c>
      <c r="E251" s="18">
        <v>3</v>
      </c>
      <c r="F251" s="17">
        <v>2</v>
      </c>
      <c r="G251" s="19">
        <v>2</v>
      </c>
      <c r="H251" s="17" t="s">
        <v>1</v>
      </c>
      <c r="I251" s="20">
        <v>1</v>
      </c>
      <c r="J251" s="21">
        <v>1.5</v>
      </c>
      <c r="K251" s="22">
        <v>21</v>
      </c>
      <c r="L251" s="23">
        <v>0.667</v>
      </c>
      <c r="M251" s="24">
        <f>IF(MAX(0,ROUNDUP(F251*2-I251,0))=0,"",MAX(0,ROUNDUP(F251*2-I251,0)))</f>
        <v>3</v>
      </c>
    </row>
    <row r="252" spans="1:13" x14ac:dyDescent="0.25">
      <c r="A252" s="16" t="s">
        <v>509</v>
      </c>
      <c r="B252" s="16" t="s">
        <v>510</v>
      </c>
      <c r="C252" s="17">
        <v>1</v>
      </c>
      <c r="D252" s="17">
        <v>2</v>
      </c>
      <c r="E252" s="18">
        <v>3</v>
      </c>
      <c r="F252" s="17">
        <v>2</v>
      </c>
      <c r="G252" s="19">
        <v>2</v>
      </c>
      <c r="H252" s="17" t="s">
        <v>1</v>
      </c>
      <c r="I252" s="20">
        <v>1</v>
      </c>
      <c r="J252" s="21">
        <v>1.5</v>
      </c>
      <c r="K252" s="22">
        <v>21</v>
      </c>
      <c r="L252" s="23">
        <v>0.667</v>
      </c>
      <c r="M252" s="24">
        <f>IF(MAX(0,ROUNDUP(F252*2-I252,0))=0,"",MAX(0,ROUNDUP(F252*2-I252,0)))</f>
        <v>3</v>
      </c>
    </row>
    <row r="253" spans="1:13" x14ac:dyDescent="0.25">
      <c r="A253" s="16" t="s">
        <v>511</v>
      </c>
      <c r="B253" s="16" t="s">
        <v>512</v>
      </c>
      <c r="C253" s="17">
        <v>1</v>
      </c>
      <c r="D253" s="17">
        <v>3</v>
      </c>
      <c r="E253" s="18">
        <v>4</v>
      </c>
      <c r="F253" s="17">
        <v>2</v>
      </c>
      <c r="G253" s="19">
        <v>2</v>
      </c>
      <c r="H253" s="17" t="s">
        <v>1</v>
      </c>
      <c r="I253" s="20">
        <v>2</v>
      </c>
      <c r="J253" s="21">
        <v>2</v>
      </c>
      <c r="K253" s="22">
        <v>28</v>
      </c>
      <c r="L253" s="23">
        <v>0.5</v>
      </c>
      <c r="M253" s="24">
        <f>IF(MAX(0,ROUNDUP(F253*2-I253,0))=0,"",MAX(0,ROUNDUP(F253*2-I253,0)))</f>
        <v>2</v>
      </c>
    </row>
    <row r="254" spans="1:13" x14ac:dyDescent="0.25">
      <c r="A254" s="16" t="s">
        <v>513</v>
      </c>
      <c r="B254" s="16" t="s">
        <v>514</v>
      </c>
      <c r="C254" s="17">
        <v>1</v>
      </c>
      <c r="D254" s="17">
        <v>2</v>
      </c>
      <c r="E254" s="18">
        <v>3</v>
      </c>
      <c r="F254" s="17">
        <v>2</v>
      </c>
      <c r="G254" s="19">
        <v>2</v>
      </c>
      <c r="H254" s="17" t="s">
        <v>1</v>
      </c>
      <c r="I254" s="20">
        <v>1</v>
      </c>
      <c r="J254" s="21">
        <v>1.5</v>
      </c>
      <c r="K254" s="22">
        <v>21</v>
      </c>
      <c r="L254" s="23">
        <v>0.667</v>
      </c>
      <c r="M254" s="24">
        <f>IF(MAX(0,ROUNDUP(F254*2-I254,0))=0,"",MAX(0,ROUNDUP(F254*2-I254,0)))</f>
        <v>3</v>
      </c>
    </row>
    <row r="255" spans="1:13" x14ac:dyDescent="0.25">
      <c r="A255" s="16" t="s">
        <v>515</v>
      </c>
      <c r="B255" s="16" t="s">
        <v>516</v>
      </c>
      <c r="C255" s="17" t="s">
        <v>1</v>
      </c>
      <c r="D255" s="17">
        <v>2</v>
      </c>
      <c r="E255" s="18">
        <v>2</v>
      </c>
      <c r="F255" s="17">
        <v>1</v>
      </c>
      <c r="G255" s="19" t="s">
        <v>1</v>
      </c>
      <c r="H255" s="17">
        <v>1</v>
      </c>
      <c r="I255" s="20">
        <v>1</v>
      </c>
      <c r="J255" s="21">
        <v>2</v>
      </c>
      <c r="K255" s="22">
        <v>28</v>
      </c>
      <c r="L255" s="23">
        <v>0.5</v>
      </c>
      <c r="M255" s="24">
        <f>IF(MAX(0,ROUNDUP(F255*2-I255,0))=0,"",MAX(0,ROUNDUP(F255*2-I255,0)))</f>
        <v>1</v>
      </c>
    </row>
    <row r="256" spans="1:13" x14ac:dyDescent="0.25">
      <c r="A256" s="16" t="s">
        <v>517</v>
      </c>
      <c r="B256" s="16" t="s">
        <v>518</v>
      </c>
      <c r="C256" s="17" t="s">
        <v>1</v>
      </c>
      <c r="D256" s="17">
        <v>4</v>
      </c>
      <c r="E256" s="18">
        <v>4</v>
      </c>
      <c r="F256" s="17">
        <v>3</v>
      </c>
      <c r="G256" s="19">
        <v>3</v>
      </c>
      <c r="H256" s="17" t="s">
        <v>1</v>
      </c>
      <c r="I256" s="20">
        <v>1</v>
      </c>
      <c r="J256" s="21">
        <v>1.333</v>
      </c>
      <c r="K256" s="22">
        <v>18.7</v>
      </c>
      <c r="L256" s="23">
        <v>0.75</v>
      </c>
      <c r="M256" s="24">
        <f>IF(MAX(0,ROUNDUP(F256*2-I256,0))=0,"",MAX(0,ROUNDUP(F256*2-I256,0)))</f>
        <v>5</v>
      </c>
    </row>
    <row r="257" spans="1:13" x14ac:dyDescent="0.25">
      <c r="A257" s="16" t="s">
        <v>519</v>
      </c>
      <c r="B257" s="16" t="s">
        <v>520</v>
      </c>
      <c r="C257" s="17" t="s">
        <v>1</v>
      </c>
      <c r="D257" s="17">
        <v>2</v>
      </c>
      <c r="E257" s="18">
        <v>2</v>
      </c>
      <c r="F257" s="17">
        <v>1</v>
      </c>
      <c r="G257" s="19">
        <v>1</v>
      </c>
      <c r="H257" s="17" t="s">
        <v>1</v>
      </c>
      <c r="I257" s="20">
        <v>1</v>
      </c>
      <c r="J257" s="21">
        <v>2</v>
      </c>
      <c r="K257" s="22">
        <v>28</v>
      </c>
      <c r="L257" s="23">
        <v>0.5</v>
      </c>
      <c r="M257" s="24">
        <f>IF(MAX(0,ROUNDUP(F257*2-I257,0))=0,"",MAX(0,ROUNDUP(F257*2-I257,0)))</f>
        <v>1</v>
      </c>
    </row>
    <row r="258" spans="1:13" x14ac:dyDescent="0.25">
      <c r="A258" s="16" t="s">
        <v>521</v>
      </c>
      <c r="B258" s="16" t="s">
        <v>522</v>
      </c>
      <c r="C258" s="17" t="s">
        <v>1</v>
      </c>
      <c r="D258" s="17">
        <v>2</v>
      </c>
      <c r="E258" s="18">
        <v>2</v>
      </c>
      <c r="F258" s="17">
        <v>1</v>
      </c>
      <c r="G258" s="19">
        <v>1</v>
      </c>
      <c r="H258" s="17" t="s">
        <v>1</v>
      </c>
      <c r="I258" s="20">
        <v>1</v>
      </c>
      <c r="J258" s="21">
        <v>2</v>
      </c>
      <c r="K258" s="22">
        <v>28</v>
      </c>
      <c r="L258" s="23">
        <v>0.5</v>
      </c>
      <c r="M258" s="24">
        <f>IF(MAX(0,ROUNDUP(F258*2-I258,0))=0,"",MAX(0,ROUNDUP(F258*2-I258,0)))</f>
        <v>1</v>
      </c>
    </row>
    <row r="259" spans="1:13" x14ac:dyDescent="0.25">
      <c r="A259" s="16" t="s">
        <v>523</v>
      </c>
      <c r="B259" s="16" t="s">
        <v>524</v>
      </c>
      <c r="C259" s="17">
        <v>3</v>
      </c>
      <c r="D259" s="17">
        <v>1</v>
      </c>
      <c r="E259" s="18">
        <v>4</v>
      </c>
      <c r="F259" s="17">
        <v>2</v>
      </c>
      <c r="G259" s="19">
        <v>2</v>
      </c>
      <c r="H259" s="17" t="s">
        <v>1</v>
      </c>
      <c r="I259" s="20">
        <v>2</v>
      </c>
      <c r="J259" s="21">
        <v>2</v>
      </c>
      <c r="K259" s="22">
        <v>28</v>
      </c>
      <c r="L259" s="23">
        <v>0.5</v>
      </c>
      <c r="M259" s="24">
        <f>IF(MAX(0,ROUNDUP(F259*2-I259,0))=0,"",MAX(0,ROUNDUP(F259*2-I259,0)))</f>
        <v>2</v>
      </c>
    </row>
    <row r="260" spans="1:13" x14ac:dyDescent="0.25">
      <c r="A260" s="16" t="s">
        <v>525</v>
      </c>
      <c r="B260" s="16" t="s">
        <v>526</v>
      </c>
      <c r="C260" s="17" t="s">
        <v>1</v>
      </c>
      <c r="D260" s="17">
        <v>2</v>
      </c>
      <c r="E260" s="18">
        <v>2</v>
      </c>
      <c r="F260" s="17">
        <v>2</v>
      </c>
      <c r="G260" s="19">
        <v>2</v>
      </c>
      <c r="H260" s="17" t="s">
        <v>1</v>
      </c>
      <c r="I260" s="20">
        <v>0</v>
      </c>
      <c r="J260" s="21">
        <v>1</v>
      </c>
      <c r="K260" s="22">
        <v>14</v>
      </c>
      <c r="L260" s="23">
        <v>1</v>
      </c>
      <c r="M260" s="24">
        <f>IF(MAX(0,ROUNDUP(F260*2-I260,0))=0,"",MAX(0,ROUNDUP(F260*2-I260,0)))</f>
        <v>4</v>
      </c>
    </row>
    <row r="261" spans="1:13" x14ac:dyDescent="0.25">
      <c r="A261" s="16" t="s">
        <v>527</v>
      </c>
      <c r="B261" s="16" t="s">
        <v>528</v>
      </c>
      <c r="C261" s="17" t="s">
        <v>1</v>
      </c>
      <c r="D261" s="17">
        <v>2</v>
      </c>
      <c r="E261" s="18">
        <v>2</v>
      </c>
      <c r="F261" s="17">
        <v>1</v>
      </c>
      <c r="G261" s="19">
        <v>1</v>
      </c>
      <c r="H261" s="17" t="s">
        <v>1</v>
      </c>
      <c r="I261" s="20">
        <v>1</v>
      </c>
      <c r="J261" s="21">
        <v>2</v>
      </c>
      <c r="K261" s="22">
        <v>28</v>
      </c>
      <c r="L261" s="23">
        <v>0.5</v>
      </c>
      <c r="M261" s="24">
        <f>IF(MAX(0,ROUNDUP(F261*2-I261,0))=0,"",MAX(0,ROUNDUP(F261*2-I261,0)))</f>
        <v>1</v>
      </c>
    </row>
    <row r="262" spans="1:13" x14ac:dyDescent="0.25">
      <c r="A262" s="16" t="s">
        <v>529</v>
      </c>
      <c r="B262" s="16" t="s">
        <v>530</v>
      </c>
      <c r="C262" s="17">
        <v>1</v>
      </c>
      <c r="D262" s="17">
        <v>1</v>
      </c>
      <c r="E262" s="18">
        <v>2</v>
      </c>
      <c r="F262" s="17">
        <v>2</v>
      </c>
      <c r="G262" s="19">
        <v>2</v>
      </c>
      <c r="H262" s="17" t="s">
        <v>1</v>
      </c>
      <c r="I262" s="20">
        <v>0</v>
      </c>
      <c r="J262" s="21">
        <v>1</v>
      </c>
      <c r="K262" s="22">
        <v>14</v>
      </c>
      <c r="L262" s="23">
        <v>1</v>
      </c>
      <c r="M262" s="24">
        <f>IF(MAX(0,ROUNDUP(F262*2-I262,0))=0,"",MAX(0,ROUNDUP(F262*2-I262,0)))</f>
        <v>4</v>
      </c>
    </row>
    <row r="263" spans="1:13" x14ac:dyDescent="0.25">
      <c r="A263" s="16" t="s">
        <v>531</v>
      </c>
      <c r="B263" s="16" t="s">
        <v>532</v>
      </c>
      <c r="C263" s="17" t="s">
        <v>1</v>
      </c>
      <c r="D263" s="17">
        <v>1</v>
      </c>
      <c r="E263" s="18">
        <v>1</v>
      </c>
      <c r="F263" s="17">
        <v>1</v>
      </c>
      <c r="G263" s="19">
        <v>1</v>
      </c>
      <c r="H263" s="17" t="s">
        <v>1</v>
      </c>
      <c r="I263" s="20">
        <v>0</v>
      </c>
      <c r="J263" s="21">
        <v>1</v>
      </c>
      <c r="K263" s="22">
        <v>14</v>
      </c>
      <c r="L263" s="23">
        <v>1</v>
      </c>
      <c r="M263" s="24">
        <f>IF(MAX(0,ROUNDUP(F263*2-I263,0))=0,"",MAX(0,ROUNDUP(F263*2-I263,0)))</f>
        <v>2</v>
      </c>
    </row>
    <row r="264" spans="1:13" x14ac:dyDescent="0.25">
      <c r="A264" s="16" t="s">
        <v>533</v>
      </c>
      <c r="B264" s="16" t="s">
        <v>534</v>
      </c>
      <c r="C264" s="17" t="s">
        <v>1</v>
      </c>
      <c r="D264" s="17">
        <v>1</v>
      </c>
      <c r="E264" s="18">
        <v>1</v>
      </c>
      <c r="F264" s="17">
        <v>1</v>
      </c>
      <c r="G264" s="19">
        <v>1</v>
      </c>
      <c r="H264" s="17" t="s">
        <v>1</v>
      </c>
      <c r="I264" s="20">
        <v>0</v>
      </c>
      <c r="J264" s="21">
        <v>1</v>
      </c>
      <c r="K264" s="22">
        <v>14</v>
      </c>
      <c r="L264" s="23">
        <v>1</v>
      </c>
      <c r="M264" s="24">
        <f>IF(MAX(0,ROUNDUP(F264*2-I264,0))=0,"",MAX(0,ROUNDUP(F264*2-I264,0)))</f>
        <v>2</v>
      </c>
    </row>
    <row r="265" spans="1:13" x14ac:dyDescent="0.25">
      <c r="A265" s="16" t="s">
        <v>535</v>
      </c>
      <c r="B265" s="16" t="s">
        <v>536</v>
      </c>
      <c r="C265" s="17">
        <v>1</v>
      </c>
      <c r="D265" s="17">
        <v>1</v>
      </c>
      <c r="E265" s="18">
        <v>2</v>
      </c>
      <c r="F265" s="17">
        <v>1</v>
      </c>
      <c r="G265" s="19">
        <v>1</v>
      </c>
      <c r="H265" s="17" t="s">
        <v>1</v>
      </c>
      <c r="I265" s="20">
        <v>1</v>
      </c>
      <c r="J265" s="21">
        <v>2</v>
      </c>
      <c r="K265" s="22">
        <v>28</v>
      </c>
      <c r="L265" s="23">
        <v>0.5</v>
      </c>
      <c r="M265" s="24">
        <f>IF(MAX(0,ROUNDUP(F265*2-I265,0))=0,"",MAX(0,ROUNDUP(F265*2-I265,0)))</f>
        <v>1</v>
      </c>
    </row>
    <row r="266" spans="1:13" x14ac:dyDescent="0.25">
      <c r="A266" s="16" t="s">
        <v>537</v>
      </c>
      <c r="B266" s="16" t="s">
        <v>538</v>
      </c>
      <c r="C266" s="17">
        <v>1</v>
      </c>
      <c r="D266" s="17">
        <v>1</v>
      </c>
      <c r="E266" s="18">
        <v>2</v>
      </c>
      <c r="F266" s="17">
        <v>1</v>
      </c>
      <c r="G266" s="19">
        <v>1</v>
      </c>
      <c r="H266" s="17" t="s">
        <v>1</v>
      </c>
      <c r="I266" s="20">
        <v>1</v>
      </c>
      <c r="J266" s="21">
        <v>2</v>
      </c>
      <c r="K266" s="22">
        <v>28</v>
      </c>
      <c r="L266" s="23">
        <v>0.5</v>
      </c>
      <c r="M266" s="24">
        <f>IF(MAX(0,ROUNDUP(F266*2-I266,0))=0,"",MAX(0,ROUNDUP(F266*2-I266,0)))</f>
        <v>1</v>
      </c>
    </row>
    <row r="267" spans="1:13" x14ac:dyDescent="0.25">
      <c r="A267" s="16" t="s">
        <v>539</v>
      </c>
      <c r="B267" s="16" t="s">
        <v>540</v>
      </c>
      <c r="C267" s="17">
        <v>1</v>
      </c>
      <c r="D267" s="17">
        <v>2</v>
      </c>
      <c r="E267" s="18">
        <v>3</v>
      </c>
      <c r="F267" s="17">
        <v>2</v>
      </c>
      <c r="G267" s="19">
        <v>2</v>
      </c>
      <c r="H267" s="17" t="s">
        <v>1</v>
      </c>
      <c r="I267" s="20">
        <v>1</v>
      </c>
      <c r="J267" s="21">
        <v>1.5</v>
      </c>
      <c r="K267" s="22">
        <v>21</v>
      </c>
      <c r="L267" s="23">
        <v>0.667</v>
      </c>
      <c r="M267" s="24">
        <f>IF(MAX(0,ROUNDUP(F267*2-I267,0))=0,"",MAX(0,ROUNDUP(F267*2-I267,0)))</f>
        <v>3</v>
      </c>
    </row>
    <row r="268" spans="1:13" x14ac:dyDescent="0.25">
      <c r="A268" s="16" t="s">
        <v>541</v>
      </c>
      <c r="B268" s="16" t="s">
        <v>542</v>
      </c>
      <c r="C268" s="17">
        <v>1</v>
      </c>
      <c r="D268" s="17" t="s">
        <v>1</v>
      </c>
      <c r="E268" s="18">
        <v>1</v>
      </c>
      <c r="F268" s="17">
        <v>1</v>
      </c>
      <c r="G268" s="19">
        <v>1</v>
      </c>
      <c r="H268" s="17" t="s">
        <v>1</v>
      </c>
      <c r="I268" s="20">
        <v>0</v>
      </c>
      <c r="J268" s="21">
        <v>1</v>
      </c>
      <c r="K268" s="22">
        <v>14</v>
      </c>
      <c r="L268" s="23">
        <v>1</v>
      </c>
      <c r="M268" s="24">
        <f>IF(MAX(0,ROUNDUP(F268*2-I268,0))=0,"",MAX(0,ROUNDUP(F268*2-I268,0)))</f>
        <v>2</v>
      </c>
    </row>
    <row r="269" spans="1:13" x14ac:dyDescent="0.25">
      <c r="A269" s="16" t="s">
        <v>543</v>
      </c>
      <c r="B269" s="16" t="s">
        <v>544</v>
      </c>
      <c r="C269" s="17">
        <v>1</v>
      </c>
      <c r="D269" s="17">
        <v>1</v>
      </c>
      <c r="E269" s="18">
        <v>2</v>
      </c>
      <c r="F269" s="17">
        <v>1</v>
      </c>
      <c r="G269" s="19">
        <v>1</v>
      </c>
      <c r="H269" s="17" t="s">
        <v>1</v>
      </c>
      <c r="I269" s="20">
        <v>1</v>
      </c>
      <c r="J269" s="21">
        <v>2</v>
      </c>
      <c r="K269" s="22">
        <v>28</v>
      </c>
      <c r="L269" s="23">
        <v>0.5</v>
      </c>
      <c r="M269" s="24">
        <f>IF(MAX(0,ROUNDUP(F269*2-I269,0))=0,"",MAX(0,ROUNDUP(F269*2-I269,0)))</f>
        <v>1</v>
      </c>
    </row>
    <row r="270" spans="1:13" x14ac:dyDescent="0.25">
      <c r="A270" s="16" t="s">
        <v>545</v>
      </c>
      <c r="B270" s="16" t="s">
        <v>546</v>
      </c>
      <c r="C270" s="17" t="s">
        <v>1</v>
      </c>
      <c r="D270" s="17">
        <v>2</v>
      </c>
      <c r="E270" s="18">
        <v>2</v>
      </c>
      <c r="F270" s="17">
        <v>1</v>
      </c>
      <c r="G270" s="19">
        <v>1</v>
      </c>
      <c r="H270" s="17" t="s">
        <v>1</v>
      </c>
      <c r="I270" s="20">
        <v>1</v>
      </c>
      <c r="J270" s="21">
        <v>2</v>
      </c>
      <c r="K270" s="22">
        <v>28</v>
      </c>
      <c r="L270" s="23">
        <v>0.5</v>
      </c>
      <c r="M270" s="24">
        <f>IF(MAX(0,ROUNDUP(F270*2-I270,0))=0,"",MAX(0,ROUNDUP(F270*2-I270,0)))</f>
        <v>1</v>
      </c>
    </row>
    <row r="271" spans="1:13" x14ac:dyDescent="0.25">
      <c r="A271" s="16" t="s">
        <v>547</v>
      </c>
      <c r="B271" s="16" t="s">
        <v>548</v>
      </c>
      <c r="C271" s="17">
        <v>1</v>
      </c>
      <c r="D271" s="17" t="s">
        <v>1</v>
      </c>
      <c r="E271" s="18">
        <v>1</v>
      </c>
      <c r="F271" s="17">
        <v>1</v>
      </c>
      <c r="G271" s="19">
        <v>1</v>
      </c>
      <c r="H271" s="17" t="s">
        <v>1</v>
      </c>
      <c r="I271" s="20">
        <v>0</v>
      </c>
      <c r="J271" s="21">
        <v>1</v>
      </c>
      <c r="K271" s="22">
        <v>14</v>
      </c>
      <c r="L271" s="23">
        <v>1</v>
      </c>
      <c r="M271" s="24">
        <f>IF(MAX(0,ROUNDUP(F271*2-I271,0))=0,"",MAX(0,ROUNDUP(F271*2-I271,0)))</f>
        <v>2</v>
      </c>
    </row>
    <row r="272" spans="1:13" x14ac:dyDescent="0.25">
      <c r="A272" s="16" t="s">
        <v>549</v>
      </c>
      <c r="B272" s="16" t="s">
        <v>550</v>
      </c>
      <c r="C272" s="17">
        <v>1</v>
      </c>
      <c r="D272" s="17">
        <v>3</v>
      </c>
      <c r="E272" s="18">
        <v>4</v>
      </c>
      <c r="F272" s="17">
        <v>3</v>
      </c>
      <c r="G272" s="19">
        <v>3</v>
      </c>
      <c r="H272" s="17" t="s">
        <v>1</v>
      </c>
      <c r="I272" s="20">
        <v>1</v>
      </c>
      <c r="J272" s="21">
        <v>1.333</v>
      </c>
      <c r="K272" s="22">
        <v>18.7</v>
      </c>
      <c r="L272" s="23">
        <v>0.75</v>
      </c>
      <c r="M272" s="24">
        <f>IF(MAX(0,ROUNDUP(F272*2-I272,0))=0,"",MAX(0,ROUNDUP(F272*2-I272,0)))</f>
        <v>5</v>
      </c>
    </row>
    <row r="273" spans="1:13" x14ac:dyDescent="0.25">
      <c r="A273" s="16" t="s">
        <v>551</v>
      </c>
      <c r="B273" s="16" t="s">
        <v>552</v>
      </c>
      <c r="C273" s="17" t="s">
        <v>1</v>
      </c>
      <c r="D273" s="17">
        <v>2</v>
      </c>
      <c r="E273" s="18">
        <v>2</v>
      </c>
      <c r="F273" s="17">
        <v>1</v>
      </c>
      <c r="G273" s="19">
        <v>1</v>
      </c>
      <c r="H273" s="17" t="s">
        <v>1</v>
      </c>
      <c r="I273" s="20">
        <v>1</v>
      </c>
      <c r="J273" s="21">
        <v>2</v>
      </c>
      <c r="K273" s="22">
        <v>28</v>
      </c>
      <c r="L273" s="23">
        <v>0.5</v>
      </c>
      <c r="M273" s="24">
        <f>IF(MAX(0,ROUNDUP(F273*2-I273,0))=0,"",MAX(0,ROUNDUP(F273*2-I273,0)))</f>
        <v>1</v>
      </c>
    </row>
    <row r="274" spans="1:13" x14ac:dyDescent="0.25">
      <c r="A274" s="16" t="s">
        <v>553</v>
      </c>
      <c r="B274" s="16" t="s">
        <v>554</v>
      </c>
      <c r="C274" s="17">
        <v>1</v>
      </c>
      <c r="D274" s="17">
        <v>1</v>
      </c>
      <c r="E274" s="18">
        <v>2</v>
      </c>
      <c r="F274" s="17">
        <v>1</v>
      </c>
      <c r="G274" s="19">
        <v>1</v>
      </c>
      <c r="H274" s="17" t="s">
        <v>1</v>
      </c>
      <c r="I274" s="20">
        <v>1</v>
      </c>
      <c r="J274" s="21">
        <v>2</v>
      </c>
      <c r="K274" s="22">
        <v>28</v>
      </c>
      <c r="L274" s="23">
        <v>0.5</v>
      </c>
      <c r="M274" s="24">
        <f>IF(MAX(0,ROUNDUP(F274*2-I274,0))=0,"",MAX(0,ROUNDUP(F274*2-I274,0)))</f>
        <v>1</v>
      </c>
    </row>
    <row r="275" spans="1:13" x14ac:dyDescent="0.25">
      <c r="A275" s="16" t="s">
        <v>555</v>
      </c>
      <c r="B275" s="16" t="s">
        <v>556</v>
      </c>
      <c r="C275" s="17">
        <v>1</v>
      </c>
      <c r="D275" s="17">
        <v>2</v>
      </c>
      <c r="E275" s="18">
        <v>3</v>
      </c>
      <c r="F275" s="17">
        <v>2</v>
      </c>
      <c r="G275" s="19">
        <v>2</v>
      </c>
      <c r="H275" s="17" t="s">
        <v>1</v>
      </c>
      <c r="I275" s="20">
        <v>1</v>
      </c>
      <c r="J275" s="21">
        <v>1.5</v>
      </c>
      <c r="K275" s="22">
        <v>21</v>
      </c>
      <c r="L275" s="23">
        <v>0.667</v>
      </c>
      <c r="M275" s="24">
        <f>IF(MAX(0,ROUNDUP(F275*2-I275,0))=0,"",MAX(0,ROUNDUP(F275*2-I275,0)))</f>
        <v>3</v>
      </c>
    </row>
    <row r="276" spans="1:13" x14ac:dyDescent="0.25">
      <c r="A276" s="16" t="s">
        <v>557</v>
      </c>
      <c r="B276" s="16" t="s">
        <v>558</v>
      </c>
      <c r="C276" s="17">
        <v>2</v>
      </c>
      <c r="D276" s="17">
        <v>2</v>
      </c>
      <c r="E276" s="18">
        <v>4</v>
      </c>
      <c r="F276" s="17">
        <v>2</v>
      </c>
      <c r="G276" s="19">
        <v>2</v>
      </c>
      <c r="H276" s="17" t="s">
        <v>1</v>
      </c>
      <c r="I276" s="20">
        <v>2</v>
      </c>
      <c r="J276" s="21">
        <v>2</v>
      </c>
      <c r="K276" s="22">
        <v>28</v>
      </c>
      <c r="L276" s="23">
        <v>0.5</v>
      </c>
      <c r="M276" s="24">
        <f>IF(MAX(0,ROUNDUP(F276*2-I276,0))=0,"",MAX(0,ROUNDUP(F276*2-I276,0)))</f>
        <v>2</v>
      </c>
    </row>
    <row r="277" spans="1:13" x14ac:dyDescent="0.25">
      <c r="A277" s="16" t="s">
        <v>559</v>
      </c>
      <c r="B277" s="16" t="s">
        <v>560</v>
      </c>
      <c r="C277" s="17">
        <v>1</v>
      </c>
      <c r="D277" s="17">
        <v>1</v>
      </c>
      <c r="E277" s="18">
        <v>2</v>
      </c>
      <c r="F277" s="17">
        <v>1</v>
      </c>
      <c r="G277" s="19">
        <v>1</v>
      </c>
      <c r="H277" s="17" t="s">
        <v>1</v>
      </c>
      <c r="I277" s="20">
        <v>1</v>
      </c>
      <c r="J277" s="21">
        <v>2</v>
      </c>
      <c r="K277" s="22">
        <v>28</v>
      </c>
      <c r="L277" s="23">
        <v>0.5</v>
      </c>
      <c r="M277" s="24">
        <f>IF(MAX(0,ROUNDUP(F277*2-I277,0))=0,"",MAX(0,ROUNDUP(F277*2-I277,0)))</f>
        <v>1</v>
      </c>
    </row>
    <row r="278" spans="1:13" x14ac:dyDescent="0.25">
      <c r="A278" s="16" t="s">
        <v>561</v>
      </c>
      <c r="B278" s="16" t="s">
        <v>562</v>
      </c>
      <c r="C278" s="17">
        <v>1</v>
      </c>
      <c r="D278" s="17">
        <v>2</v>
      </c>
      <c r="E278" s="18">
        <v>3</v>
      </c>
      <c r="F278" s="17">
        <v>2</v>
      </c>
      <c r="G278" s="19">
        <v>2</v>
      </c>
      <c r="H278" s="17" t="s">
        <v>1</v>
      </c>
      <c r="I278" s="20">
        <v>1</v>
      </c>
      <c r="J278" s="21">
        <v>1.5</v>
      </c>
      <c r="K278" s="22">
        <v>21</v>
      </c>
      <c r="L278" s="23">
        <v>0.667</v>
      </c>
      <c r="M278" s="24">
        <f>IF(MAX(0,ROUNDUP(F278*2-I278,0))=0,"",MAX(0,ROUNDUP(F278*2-I278,0)))</f>
        <v>3</v>
      </c>
    </row>
    <row r="279" spans="1:13" x14ac:dyDescent="0.25">
      <c r="A279" s="16" t="s">
        <v>563</v>
      </c>
      <c r="B279" s="16" t="s">
        <v>564</v>
      </c>
      <c r="C279" s="17">
        <v>1</v>
      </c>
      <c r="D279" s="17" t="s">
        <v>1</v>
      </c>
      <c r="E279" s="18">
        <v>1</v>
      </c>
      <c r="F279" s="17">
        <v>1</v>
      </c>
      <c r="G279" s="19">
        <v>1</v>
      </c>
      <c r="H279" s="17" t="s">
        <v>1</v>
      </c>
      <c r="I279" s="20">
        <v>0</v>
      </c>
      <c r="J279" s="21">
        <v>1</v>
      </c>
      <c r="K279" s="22">
        <v>14</v>
      </c>
      <c r="L279" s="23">
        <v>1</v>
      </c>
      <c r="M279" s="24">
        <f>IF(MAX(0,ROUNDUP(F279*2-I279,0))=0,"",MAX(0,ROUNDUP(F279*2-I279,0)))</f>
        <v>2</v>
      </c>
    </row>
    <row r="280" spans="1:13" x14ac:dyDescent="0.25">
      <c r="A280" s="16" t="s">
        <v>565</v>
      </c>
      <c r="B280" s="16" t="s">
        <v>566</v>
      </c>
      <c r="C280" s="17">
        <v>1</v>
      </c>
      <c r="D280" s="17">
        <v>1</v>
      </c>
      <c r="E280" s="18">
        <v>2</v>
      </c>
      <c r="F280" s="17">
        <v>1</v>
      </c>
      <c r="G280" s="19">
        <v>1</v>
      </c>
      <c r="H280" s="17" t="s">
        <v>1</v>
      </c>
      <c r="I280" s="20">
        <v>1</v>
      </c>
      <c r="J280" s="21">
        <v>2</v>
      </c>
      <c r="K280" s="22">
        <v>28</v>
      </c>
      <c r="L280" s="23">
        <v>0.5</v>
      </c>
      <c r="M280" s="24">
        <f>IF(MAX(0,ROUNDUP(F280*2-I280,0))=0,"",MAX(0,ROUNDUP(F280*2-I280,0)))</f>
        <v>1</v>
      </c>
    </row>
    <row r="281" spans="1:13" x14ac:dyDescent="0.25">
      <c r="A281" s="16" t="s">
        <v>567</v>
      </c>
      <c r="B281" s="16" t="s">
        <v>568</v>
      </c>
      <c r="C281" s="17">
        <v>1</v>
      </c>
      <c r="D281" s="17" t="s">
        <v>1</v>
      </c>
      <c r="E281" s="18">
        <v>1</v>
      </c>
      <c r="F281" s="17">
        <v>1</v>
      </c>
      <c r="G281" s="19" t="s">
        <v>1</v>
      </c>
      <c r="H281" s="17">
        <v>1</v>
      </c>
      <c r="I281" s="20">
        <v>0</v>
      </c>
      <c r="J281" s="21">
        <v>1</v>
      </c>
      <c r="K281" s="22">
        <v>14</v>
      </c>
      <c r="L281" s="23">
        <v>1</v>
      </c>
      <c r="M281" s="24">
        <f>IF(MAX(0,ROUNDUP(F281*2-I281,0))=0,"",MAX(0,ROUNDUP(F281*2-I281,0)))</f>
        <v>2</v>
      </c>
    </row>
    <row r="282" spans="1:13" x14ac:dyDescent="0.25">
      <c r="A282" s="16" t="s">
        <v>569</v>
      </c>
      <c r="B282" s="16" t="s">
        <v>570</v>
      </c>
      <c r="C282" s="17">
        <v>1</v>
      </c>
      <c r="D282" s="17">
        <v>2</v>
      </c>
      <c r="E282" s="18">
        <v>3</v>
      </c>
      <c r="F282" s="17">
        <v>2</v>
      </c>
      <c r="G282" s="19">
        <v>2</v>
      </c>
      <c r="H282" s="17" t="s">
        <v>1</v>
      </c>
      <c r="I282" s="20">
        <v>1</v>
      </c>
      <c r="J282" s="21">
        <v>1.5</v>
      </c>
      <c r="K282" s="22">
        <v>21</v>
      </c>
      <c r="L282" s="23">
        <v>0.667</v>
      </c>
      <c r="M282" s="24">
        <f>IF(MAX(0,ROUNDUP(F282*2-I282,0))=0,"",MAX(0,ROUNDUP(F282*2-I282,0)))</f>
        <v>3</v>
      </c>
    </row>
    <row r="283" spans="1:13" x14ac:dyDescent="0.25">
      <c r="A283" s="16" t="s">
        <v>571</v>
      </c>
      <c r="B283" s="16" t="s">
        <v>572</v>
      </c>
      <c r="C283" s="17">
        <v>1</v>
      </c>
      <c r="D283" s="17" t="s">
        <v>1</v>
      </c>
      <c r="E283" s="18">
        <v>1</v>
      </c>
      <c r="F283" s="17">
        <v>1</v>
      </c>
      <c r="G283" s="19" t="s">
        <v>1</v>
      </c>
      <c r="H283" s="17">
        <v>1</v>
      </c>
      <c r="I283" s="20">
        <v>0</v>
      </c>
      <c r="J283" s="21">
        <v>1</v>
      </c>
      <c r="K283" s="22">
        <v>14</v>
      </c>
      <c r="L283" s="23">
        <v>1</v>
      </c>
      <c r="M283" s="24">
        <f>IF(MAX(0,ROUNDUP(F283*2-I283,0))=0,"",MAX(0,ROUNDUP(F283*2-I283,0)))</f>
        <v>2</v>
      </c>
    </row>
    <row r="284" spans="1:13" x14ac:dyDescent="0.25">
      <c r="A284" s="16" t="s">
        <v>573</v>
      </c>
      <c r="B284" s="16" t="s">
        <v>574</v>
      </c>
      <c r="C284" s="17">
        <v>1</v>
      </c>
      <c r="D284" s="17">
        <v>1</v>
      </c>
      <c r="E284" s="18">
        <v>2</v>
      </c>
      <c r="F284" s="17">
        <v>2</v>
      </c>
      <c r="G284" s="19">
        <v>2</v>
      </c>
      <c r="H284" s="17" t="s">
        <v>1</v>
      </c>
      <c r="I284" s="20">
        <v>0</v>
      </c>
      <c r="J284" s="21">
        <v>1</v>
      </c>
      <c r="K284" s="22">
        <v>14</v>
      </c>
      <c r="L284" s="23">
        <v>1</v>
      </c>
      <c r="M284" s="24">
        <f>IF(MAX(0,ROUNDUP(F284*2-I284,0))=0,"",MAX(0,ROUNDUP(F284*2-I284,0)))</f>
        <v>4</v>
      </c>
    </row>
    <row r="285" spans="1:13" x14ac:dyDescent="0.25">
      <c r="A285" s="16" t="s">
        <v>575</v>
      </c>
      <c r="B285" s="16" t="s">
        <v>576</v>
      </c>
      <c r="C285" s="17">
        <v>1</v>
      </c>
      <c r="D285" s="17">
        <v>2</v>
      </c>
      <c r="E285" s="18">
        <v>3</v>
      </c>
      <c r="F285" s="17">
        <v>2</v>
      </c>
      <c r="G285" s="19">
        <v>2</v>
      </c>
      <c r="H285" s="17" t="s">
        <v>1</v>
      </c>
      <c r="I285" s="20">
        <v>1</v>
      </c>
      <c r="J285" s="21">
        <v>1.5</v>
      </c>
      <c r="K285" s="22">
        <v>21</v>
      </c>
      <c r="L285" s="23">
        <v>0.667</v>
      </c>
      <c r="M285" s="24">
        <f>IF(MAX(0,ROUNDUP(F285*2-I285,0))=0,"",MAX(0,ROUNDUP(F285*2-I285,0)))</f>
        <v>3</v>
      </c>
    </row>
    <row r="286" spans="1:13" x14ac:dyDescent="0.25">
      <c r="A286" s="16" t="s">
        <v>577</v>
      </c>
      <c r="B286" s="16" t="s">
        <v>578</v>
      </c>
      <c r="C286" s="17">
        <v>1</v>
      </c>
      <c r="D286" s="17">
        <v>1</v>
      </c>
      <c r="E286" s="18">
        <v>2</v>
      </c>
      <c r="F286" s="17">
        <v>1</v>
      </c>
      <c r="G286" s="19">
        <v>1</v>
      </c>
      <c r="H286" s="17" t="s">
        <v>1</v>
      </c>
      <c r="I286" s="20">
        <v>1</v>
      </c>
      <c r="J286" s="21">
        <v>2</v>
      </c>
      <c r="K286" s="22">
        <v>28</v>
      </c>
      <c r="L286" s="23">
        <v>0.5</v>
      </c>
      <c r="M286" s="24">
        <f>IF(MAX(0,ROUNDUP(F286*2-I286,0))=0,"",MAX(0,ROUNDUP(F286*2-I286,0)))</f>
        <v>1</v>
      </c>
    </row>
    <row r="287" spans="1:13" x14ac:dyDescent="0.25">
      <c r="A287" s="16" t="s">
        <v>579</v>
      </c>
      <c r="B287" s="16" t="s">
        <v>580</v>
      </c>
      <c r="C287" s="17">
        <v>1</v>
      </c>
      <c r="D287" s="17">
        <v>1</v>
      </c>
      <c r="E287" s="18">
        <v>2</v>
      </c>
      <c r="F287" s="17">
        <v>1</v>
      </c>
      <c r="G287" s="19">
        <v>1</v>
      </c>
      <c r="H287" s="17" t="s">
        <v>1</v>
      </c>
      <c r="I287" s="20">
        <v>1</v>
      </c>
      <c r="J287" s="21">
        <v>2</v>
      </c>
      <c r="K287" s="22">
        <v>28</v>
      </c>
      <c r="L287" s="23">
        <v>0.5</v>
      </c>
      <c r="M287" s="24">
        <f>IF(MAX(0,ROUNDUP(F287*2-I287,0))=0,"",MAX(0,ROUNDUP(F287*2-I287,0)))</f>
        <v>1</v>
      </c>
    </row>
    <row r="288" spans="1:13" x14ac:dyDescent="0.25">
      <c r="A288" s="16" t="s">
        <v>581</v>
      </c>
      <c r="B288" s="16" t="s">
        <v>582</v>
      </c>
      <c r="C288" s="17">
        <v>1</v>
      </c>
      <c r="D288" s="17" t="s">
        <v>1</v>
      </c>
      <c r="E288" s="18">
        <v>1</v>
      </c>
      <c r="F288" s="17">
        <v>1</v>
      </c>
      <c r="G288" s="19">
        <v>1</v>
      </c>
      <c r="H288" s="17" t="s">
        <v>1</v>
      </c>
      <c r="I288" s="20">
        <v>0</v>
      </c>
      <c r="J288" s="21">
        <v>1</v>
      </c>
      <c r="K288" s="22">
        <v>14</v>
      </c>
      <c r="L288" s="23">
        <v>1</v>
      </c>
      <c r="M288" s="24">
        <f>IF(MAX(0,ROUNDUP(F288*2-I288,0))=0,"",MAX(0,ROUNDUP(F288*2-I288,0)))</f>
        <v>2</v>
      </c>
    </row>
    <row r="289" spans="1:13" x14ac:dyDescent="0.25">
      <c r="A289" s="16" t="s">
        <v>583</v>
      </c>
      <c r="B289" s="16" t="s">
        <v>584</v>
      </c>
      <c r="C289" s="17" t="s">
        <v>1</v>
      </c>
      <c r="D289" s="17">
        <v>2</v>
      </c>
      <c r="E289" s="18">
        <v>2</v>
      </c>
      <c r="F289" s="17">
        <v>1</v>
      </c>
      <c r="G289" s="19">
        <v>1</v>
      </c>
      <c r="H289" s="17" t="s">
        <v>1</v>
      </c>
      <c r="I289" s="20">
        <v>1</v>
      </c>
      <c r="J289" s="21">
        <v>2</v>
      </c>
      <c r="K289" s="22">
        <v>28</v>
      </c>
      <c r="L289" s="23">
        <v>0.5</v>
      </c>
      <c r="M289" s="24">
        <f>IF(MAX(0,ROUNDUP(F289*2-I289,0))=0,"",MAX(0,ROUNDUP(F289*2-I289,0)))</f>
        <v>1</v>
      </c>
    </row>
    <row r="290" spans="1:13" x14ac:dyDescent="0.25">
      <c r="A290" s="16" t="s">
        <v>585</v>
      </c>
      <c r="B290" s="16" t="s">
        <v>586</v>
      </c>
      <c r="C290" s="17" t="s">
        <v>1</v>
      </c>
      <c r="D290" s="17">
        <v>1</v>
      </c>
      <c r="E290" s="18">
        <v>1</v>
      </c>
      <c r="F290" s="17">
        <v>1</v>
      </c>
      <c r="G290" s="19">
        <v>1</v>
      </c>
      <c r="H290" s="17" t="s">
        <v>1</v>
      </c>
      <c r="I290" s="20">
        <v>0</v>
      </c>
      <c r="J290" s="21">
        <v>1</v>
      </c>
      <c r="K290" s="22">
        <v>14</v>
      </c>
      <c r="L290" s="23">
        <v>1</v>
      </c>
      <c r="M290" s="24">
        <f>IF(MAX(0,ROUNDUP(F290*2-I290,0))=0,"",MAX(0,ROUNDUP(F290*2-I290,0)))</f>
        <v>2</v>
      </c>
    </row>
    <row r="291" spans="1:13" x14ac:dyDescent="0.25">
      <c r="A291" s="16" t="s">
        <v>587</v>
      </c>
      <c r="B291" s="16" t="s">
        <v>588</v>
      </c>
      <c r="C291" s="17">
        <v>1</v>
      </c>
      <c r="D291" s="17">
        <v>1</v>
      </c>
      <c r="E291" s="18">
        <v>2</v>
      </c>
      <c r="F291" s="17">
        <v>1</v>
      </c>
      <c r="G291" s="19">
        <v>1</v>
      </c>
      <c r="H291" s="17" t="s">
        <v>1</v>
      </c>
      <c r="I291" s="20">
        <v>1</v>
      </c>
      <c r="J291" s="21">
        <v>2</v>
      </c>
      <c r="K291" s="22">
        <v>28</v>
      </c>
      <c r="L291" s="23">
        <v>0.5</v>
      </c>
      <c r="M291" s="24">
        <f>IF(MAX(0,ROUNDUP(F291*2-I291,0))=0,"",MAX(0,ROUNDUP(F291*2-I291,0)))</f>
        <v>1</v>
      </c>
    </row>
    <row r="292" spans="1:13" x14ac:dyDescent="0.25">
      <c r="A292" s="16" t="s">
        <v>589</v>
      </c>
      <c r="B292" s="16" t="s">
        <v>590</v>
      </c>
      <c r="C292" s="17">
        <v>1</v>
      </c>
      <c r="D292" s="17">
        <v>1</v>
      </c>
      <c r="E292" s="18">
        <v>2</v>
      </c>
      <c r="F292" s="17">
        <v>1</v>
      </c>
      <c r="G292" s="19">
        <v>1</v>
      </c>
      <c r="H292" s="17" t="s">
        <v>1</v>
      </c>
      <c r="I292" s="20">
        <v>1</v>
      </c>
      <c r="J292" s="21">
        <v>2</v>
      </c>
      <c r="K292" s="22">
        <v>28</v>
      </c>
      <c r="L292" s="23">
        <v>0.5</v>
      </c>
      <c r="M292" s="24">
        <f>IF(MAX(0,ROUNDUP(F292*2-I292,0))=0,"",MAX(0,ROUNDUP(F292*2-I292,0)))</f>
        <v>1</v>
      </c>
    </row>
    <row r="293" spans="1:13" x14ac:dyDescent="0.25">
      <c r="A293" s="16" t="s">
        <v>591</v>
      </c>
      <c r="B293" s="16" t="s">
        <v>592</v>
      </c>
      <c r="C293" s="17">
        <v>1</v>
      </c>
      <c r="D293" s="17">
        <v>1</v>
      </c>
      <c r="E293" s="18">
        <v>2</v>
      </c>
      <c r="F293" s="17">
        <v>1</v>
      </c>
      <c r="G293" s="19">
        <v>1</v>
      </c>
      <c r="H293" s="17" t="s">
        <v>1</v>
      </c>
      <c r="I293" s="20">
        <v>1</v>
      </c>
      <c r="J293" s="21">
        <v>2</v>
      </c>
      <c r="K293" s="22">
        <v>28</v>
      </c>
      <c r="L293" s="23">
        <v>0.5</v>
      </c>
      <c r="M293" s="24">
        <f>IF(MAX(0,ROUNDUP(F293*2-I293,0))=0,"",MAX(0,ROUNDUP(F293*2-I293,0)))</f>
        <v>1</v>
      </c>
    </row>
    <row r="294" spans="1:13" x14ac:dyDescent="0.25">
      <c r="A294" s="16" t="s">
        <v>593</v>
      </c>
      <c r="B294" s="16" t="s">
        <v>594</v>
      </c>
      <c r="C294" s="17">
        <v>2</v>
      </c>
      <c r="D294" s="17">
        <v>5</v>
      </c>
      <c r="E294" s="18">
        <v>7</v>
      </c>
      <c r="F294" s="17">
        <v>3</v>
      </c>
      <c r="G294" s="19">
        <v>3</v>
      </c>
      <c r="H294" s="17" t="s">
        <v>1</v>
      </c>
      <c r="I294" s="20">
        <v>4</v>
      </c>
      <c r="J294" s="21">
        <v>2.333</v>
      </c>
      <c r="K294" s="22">
        <v>32.7</v>
      </c>
      <c r="L294" s="23">
        <v>0.429</v>
      </c>
      <c r="M294" s="24">
        <f>IF(MAX(0,ROUNDUP(F294*2-I294,0))=0,"",MAX(0,ROUNDUP(F294*2-I294,0)))</f>
        <v>2</v>
      </c>
    </row>
    <row r="295" spans="1:13" x14ac:dyDescent="0.25">
      <c r="A295" s="16" t="s">
        <v>595</v>
      </c>
      <c r="B295" s="16" t="s">
        <v>596</v>
      </c>
      <c r="C295" s="17">
        <v>1</v>
      </c>
      <c r="D295" s="17">
        <v>1</v>
      </c>
      <c r="E295" s="18">
        <v>2</v>
      </c>
      <c r="F295" s="17">
        <v>1</v>
      </c>
      <c r="G295" s="19">
        <v>1</v>
      </c>
      <c r="H295" s="17" t="s">
        <v>1</v>
      </c>
      <c r="I295" s="20">
        <v>1</v>
      </c>
      <c r="J295" s="21">
        <v>2</v>
      </c>
      <c r="K295" s="22">
        <v>28</v>
      </c>
      <c r="L295" s="23">
        <v>0.5</v>
      </c>
      <c r="M295" s="24">
        <f>IF(MAX(0,ROUNDUP(F295*2-I295,0))=0,"",MAX(0,ROUNDUP(F295*2-I295,0)))</f>
        <v>1</v>
      </c>
    </row>
    <row r="296" spans="1:13" x14ac:dyDescent="0.25">
      <c r="A296" s="16" t="s">
        <v>597</v>
      </c>
      <c r="B296" s="16" t="s">
        <v>598</v>
      </c>
      <c r="C296" s="17">
        <v>1</v>
      </c>
      <c r="D296" s="17">
        <v>2</v>
      </c>
      <c r="E296" s="18">
        <v>3</v>
      </c>
      <c r="F296" s="17">
        <v>2</v>
      </c>
      <c r="G296" s="19">
        <v>2</v>
      </c>
      <c r="H296" s="17" t="s">
        <v>1</v>
      </c>
      <c r="I296" s="20">
        <v>1</v>
      </c>
      <c r="J296" s="21">
        <v>1.5</v>
      </c>
      <c r="K296" s="22">
        <v>21</v>
      </c>
      <c r="L296" s="23">
        <v>0.667</v>
      </c>
      <c r="M296" s="24">
        <f>IF(MAX(0,ROUNDUP(F296*2-I296,0))=0,"",MAX(0,ROUNDUP(F296*2-I296,0)))</f>
        <v>3</v>
      </c>
    </row>
    <row r="297" spans="1:13" x14ac:dyDescent="0.25">
      <c r="A297" s="16" t="s">
        <v>599</v>
      </c>
      <c r="B297" s="16" t="s">
        <v>600</v>
      </c>
      <c r="C297" s="17">
        <v>1</v>
      </c>
      <c r="D297" s="17" t="s">
        <v>1</v>
      </c>
      <c r="E297" s="18">
        <v>1</v>
      </c>
      <c r="F297" s="17">
        <v>1</v>
      </c>
      <c r="G297" s="19">
        <v>1</v>
      </c>
      <c r="H297" s="17" t="s">
        <v>1</v>
      </c>
      <c r="I297" s="20">
        <v>0</v>
      </c>
      <c r="J297" s="21">
        <v>1</v>
      </c>
      <c r="K297" s="22">
        <v>14</v>
      </c>
      <c r="L297" s="23">
        <v>1</v>
      </c>
      <c r="M297" s="24">
        <f>IF(MAX(0,ROUNDUP(F297*2-I297,0))=0,"",MAX(0,ROUNDUP(F297*2-I297,0)))</f>
        <v>2</v>
      </c>
    </row>
    <row r="298" spans="1:13" x14ac:dyDescent="0.25">
      <c r="A298" s="16" t="s">
        <v>601</v>
      </c>
      <c r="B298" s="16" t="s">
        <v>602</v>
      </c>
      <c r="C298" s="17">
        <v>1</v>
      </c>
      <c r="D298" s="17" t="s">
        <v>1</v>
      </c>
      <c r="E298" s="18">
        <v>1</v>
      </c>
      <c r="F298" s="17">
        <v>1</v>
      </c>
      <c r="G298" s="19" t="s">
        <v>1</v>
      </c>
      <c r="H298" s="17">
        <v>1</v>
      </c>
      <c r="I298" s="20">
        <v>0</v>
      </c>
      <c r="J298" s="21">
        <v>1</v>
      </c>
      <c r="K298" s="22">
        <v>14</v>
      </c>
      <c r="L298" s="23">
        <v>1</v>
      </c>
      <c r="M298" s="24">
        <f>IF(MAX(0,ROUNDUP(F298*2-I298,0))=0,"",MAX(0,ROUNDUP(F298*2-I298,0)))</f>
        <v>2</v>
      </c>
    </row>
    <row r="299" spans="1:13" x14ac:dyDescent="0.25">
      <c r="A299" s="16" t="s">
        <v>603</v>
      </c>
      <c r="B299" s="16" t="s">
        <v>604</v>
      </c>
      <c r="C299" s="17">
        <v>1</v>
      </c>
      <c r="D299" s="17">
        <v>11</v>
      </c>
      <c r="E299" s="18">
        <v>12</v>
      </c>
      <c r="F299" s="17">
        <v>8</v>
      </c>
      <c r="G299" s="19">
        <v>8</v>
      </c>
      <c r="H299" s="17" t="s">
        <v>1</v>
      </c>
      <c r="I299" s="20">
        <v>4</v>
      </c>
      <c r="J299" s="21">
        <v>1.5</v>
      </c>
      <c r="K299" s="22">
        <v>21</v>
      </c>
      <c r="L299" s="23">
        <v>0.667</v>
      </c>
      <c r="M299" s="24">
        <f>IF(MAX(0,ROUNDUP(F299*2-I299,0))=0,"",MAX(0,ROUNDUP(F299*2-I299,0)))</f>
        <v>12</v>
      </c>
    </row>
    <row r="300" spans="1:13" x14ac:dyDescent="0.25">
      <c r="A300" s="16" t="s">
        <v>605</v>
      </c>
      <c r="B300" s="16" t="s">
        <v>606</v>
      </c>
      <c r="C300" s="17">
        <v>1</v>
      </c>
      <c r="D300" s="17">
        <v>6</v>
      </c>
      <c r="E300" s="18">
        <v>7</v>
      </c>
      <c r="F300" s="17">
        <v>5</v>
      </c>
      <c r="G300" s="19">
        <v>5</v>
      </c>
      <c r="H300" s="17" t="s">
        <v>1</v>
      </c>
      <c r="I300" s="20">
        <v>2</v>
      </c>
      <c r="J300" s="21">
        <v>1.4</v>
      </c>
      <c r="K300" s="22">
        <v>19.6</v>
      </c>
      <c r="L300" s="23">
        <v>0.714</v>
      </c>
      <c r="M300" s="24">
        <f>IF(MAX(0,ROUNDUP(F300*2-I300,0))=0,"",MAX(0,ROUNDUP(F300*2-I300,0)))</f>
        <v>8</v>
      </c>
    </row>
    <row r="301" spans="1:13" x14ac:dyDescent="0.25">
      <c r="A301" s="16" t="s">
        <v>607</v>
      </c>
      <c r="B301" s="16" t="s">
        <v>608</v>
      </c>
      <c r="C301" s="17">
        <v>2</v>
      </c>
      <c r="D301" s="17">
        <v>3</v>
      </c>
      <c r="E301" s="18">
        <v>5</v>
      </c>
      <c r="F301" s="17">
        <v>3</v>
      </c>
      <c r="G301" s="19">
        <v>3</v>
      </c>
      <c r="H301" s="17" t="s">
        <v>1</v>
      </c>
      <c r="I301" s="20">
        <v>2</v>
      </c>
      <c r="J301" s="21">
        <v>1.667</v>
      </c>
      <c r="K301" s="22">
        <v>23.3</v>
      </c>
      <c r="L301" s="23">
        <v>0.6</v>
      </c>
      <c r="M301" s="24">
        <f>IF(MAX(0,ROUNDUP(F301*2-I301,0))=0,"",MAX(0,ROUNDUP(F301*2-I301,0)))</f>
        <v>4</v>
      </c>
    </row>
    <row r="302" spans="1:13" x14ac:dyDescent="0.25">
      <c r="A302" s="16" t="s">
        <v>609</v>
      </c>
      <c r="B302" s="16" t="s">
        <v>610</v>
      </c>
      <c r="C302" s="17">
        <v>1</v>
      </c>
      <c r="D302" s="17">
        <v>1</v>
      </c>
      <c r="E302" s="18">
        <v>2</v>
      </c>
      <c r="F302" s="17">
        <v>1</v>
      </c>
      <c r="G302" s="19">
        <v>1</v>
      </c>
      <c r="H302" s="17" t="s">
        <v>1</v>
      </c>
      <c r="I302" s="20">
        <v>1</v>
      </c>
      <c r="J302" s="21">
        <v>2</v>
      </c>
      <c r="K302" s="22">
        <v>28</v>
      </c>
      <c r="L302" s="23">
        <v>0.5</v>
      </c>
      <c r="M302" s="24">
        <f>IF(MAX(0,ROUNDUP(F302*2-I302,0))=0,"",MAX(0,ROUNDUP(F302*2-I302,0)))</f>
        <v>1</v>
      </c>
    </row>
    <row r="303" spans="1:13" x14ac:dyDescent="0.25">
      <c r="A303" s="16" t="s">
        <v>611</v>
      </c>
      <c r="B303" s="16" t="s">
        <v>612</v>
      </c>
      <c r="C303" s="17">
        <v>1</v>
      </c>
      <c r="D303" s="17" t="s">
        <v>1</v>
      </c>
      <c r="E303" s="18">
        <v>1</v>
      </c>
      <c r="F303" s="17">
        <v>1</v>
      </c>
      <c r="G303" s="19" t="s">
        <v>1</v>
      </c>
      <c r="H303" s="17">
        <v>1</v>
      </c>
      <c r="I303" s="20">
        <v>0</v>
      </c>
      <c r="J303" s="21">
        <v>1</v>
      </c>
      <c r="K303" s="22">
        <v>14</v>
      </c>
      <c r="L303" s="23">
        <v>1</v>
      </c>
      <c r="M303" s="24">
        <f>IF(MAX(0,ROUNDUP(F303*2-I303,0))=0,"",MAX(0,ROUNDUP(F303*2-I303,0)))</f>
        <v>2</v>
      </c>
    </row>
    <row r="304" spans="1:13" x14ac:dyDescent="0.25">
      <c r="A304" s="16" t="s">
        <v>613</v>
      </c>
      <c r="B304" s="16" t="s">
        <v>614</v>
      </c>
      <c r="C304" s="17">
        <v>1</v>
      </c>
      <c r="D304" s="17" t="s">
        <v>1</v>
      </c>
      <c r="E304" s="18">
        <v>1</v>
      </c>
      <c r="F304" s="17">
        <v>1</v>
      </c>
      <c r="G304" s="19" t="s">
        <v>1</v>
      </c>
      <c r="H304" s="17">
        <v>1</v>
      </c>
      <c r="I304" s="20">
        <v>0</v>
      </c>
      <c r="J304" s="21">
        <v>1</v>
      </c>
      <c r="K304" s="22">
        <v>14</v>
      </c>
      <c r="L304" s="23">
        <v>1</v>
      </c>
      <c r="M304" s="24">
        <f>IF(MAX(0,ROUNDUP(F304*2-I304,0))=0,"",MAX(0,ROUNDUP(F304*2-I304,0)))</f>
        <v>2</v>
      </c>
    </row>
    <row r="305" spans="1:13" x14ac:dyDescent="0.25">
      <c r="A305" s="16" t="s">
        <v>615</v>
      </c>
      <c r="B305" s="16" t="s">
        <v>616</v>
      </c>
      <c r="C305" s="17">
        <v>1</v>
      </c>
      <c r="D305" s="17" t="s">
        <v>1</v>
      </c>
      <c r="E305" s="18">
        <v>1</v>
      </c>
      <c r="F305" s="17">
        <v>1</v>
      </c>
      <c r="G305" s="19">
        <v>1</v>
      </c>
      <c r="H305" s="17" t="s">
        <v>1</v>
      </c>
      <c r="I305" s="20">
        <v>0</v>
      </c>
      <c r="J305" s="21">
        <v>1</v>
      </c>
      <c r="K305" s="22">
        <v>14</v>
      </c>
      <c r="L305" s="23">
        <v>1</v>
      </c>
      <c r="M305" s="24">
        <f>IF(MAX(0,ROUNDUP(F305*2-I305,0))=0,"",MAX(0,ROUNDUP(F305*2-I305,0)))</f>
        <v>2</v>
      </c>
    </row>
    <row r="306" spans="1:13" x14ac:dyDescent="0.25">
      <c r="A306" s="16" t="s">
        <v>617</v>
      </c>
      <c r="B306" s="16" t="s">
        <v>618</v>
      </c>
      <c r="C306" s="17">
        <v>2</v>
      </c>
      <c r="D306" s="17">
        <v>2</v>
      </c>
      <c r="E306" s="18">
        <v>4</v>
      </c>
      <c r="F306" s="17">
        <v>3</v>
      </c>
      <c r="G306" s="19">
        <v>3</v>
      </c>
      <c r="H306" s="17" t="s">
        <v>1</v>
      </c>
      <c r="I306" s="20">
        <v>1</v>
      </c>
      <c r="J306" s="21">
        <v>1.333</v>
      </c>
      <c r="K306" s="22">
        <v>18.7</v>
      </c>
      <c r="L306" s="23">
        <v>0.75</v>
      </c>
      <c r="M306" s="24">
        <f>IF(MAX(0,ROUNDUP(F306*2-I306,0))=0,"",MAX(0,ROUNDUP(F306*2-I306,0)))</f>
        <v>5</v>
      </c>
    </row>
    <row r="307" spans="1:13" x14ac:dyDescent="0.25">
      <c r="A307" s="16" t="s">
        <v>619</v>
      </c>
      <c r="B307" s="16" t="s">
        <v>620</v>
      </c>
      <c r="C307" s="17">
        <v>3</v>
      </c>
      <c r="D307" s="17">
        <v>3</v>
      </c>
      <c r="E307" s="18">
        <v>6</v>
      </c>
      <c r="F307" s="17">
        <v>6</v>
      </c>
      <c r="G307" s="19">
        <v>6</v>
      </c>
      <c r="H307" s="17" t="s">
        <v>1</v>
      </c>
      <c r="I307" s="20">
        <v>0</v>
      </c>
      <c r="J307" s="21">
        <v>1</v>
      </c>
      <c r="K307" s="22">
        <v>14</v>
      </c>
      <c r="L307" s="23">
        <v>1</v>
      </c>
      <c r="M307" s="24">
        <f>IF(MAX(0,ROUNDUP(F307*2-I307,0))=0,"",MAX(0,ROUNDUP(F307*2-I307,0)))</f>
        <v>12</v>
      </c>
    </row>
    <row r="308" spans="1:13" x14ac:dyDescent="0.25">
      <c r="A308" s="16" t="s">
        <v>621</v>
      </c>
      <c r="B308" s="16" t="s">
        <v>622</v>
      </c>
      <c r="C308" s="17">
        <v>1</v>
      </c>
      <c r="D308" s="17">
        <v>1</v>
      </c>
      <c r="E308" s="18">
        <v>2</v>
      </c>
      <c r="F308" s="17">
        <v>1</v>
      </c>
      <c r="G308" s="19">
        <v>1</v>
      </c>
      <c r="H308" s="17" t="s">
        <v>1</v>
      </c>
      <c r="I308" s="20">
        <v>1</v>
      </c>
      <c r="J308" s="21">
        <v>2</v>
      </c>
      <c r="K308" s="22">
        <v>28</v>
      </c>
      <c r="L308" s="23">
        <v>0.5</v>
      </c>
      <c r="M308" s="24">
        <f>IF(MAX(0,ROUNDUP(F308*2-I308,0))=0,"",MAX(0,ROUNDUP(F308*2-I308,0)))</f>
        <v>1</v>
      </c>
    </row>
    <row r="309" spans="1:13" x14ac:dyDescent="0.25">
      <c r="A309" s="16" t="s">
        <v>623</v>
      </c>
      <c r="B309" s="16" t="s">
        <v>624</v>
      </c>
      <c r="C309" s="17">
        <v>1</v>
      </c>
      <c r="D309" s="17">
        <v>3</v>
      </c>
      <c r="E309" s="18">
        <v>4</v>
      </c>
      <c r="F309" s="17">
        <v>3</v>
      </c>
      <c r="G309" s="19">
        <v>3</v>
      </c>
      <c r="H309" s="17" t="s">
        <v>1</v>
      </c>
      <c r="I309" s="20">
        <v>1</v>
      </c>
      <c r="J309" s="21">
        <v>1.333</v>
      </c>
      <c r="K309" s="22">
        <v>18.7</v>
      </c>
      <c r="L309" s="23">
        <v>0.75</v>
      </c>
      <c r="M309" s="24">
        <f>IF(MAX(0,ROUNDUP(F309*2-I309,0))=0,"",MAX(0,ROUNDUP(F309*2-I309,0)))</f>
        <v>5</v>
      </c>
    </row>
    <row r="310" spans="1:13" x14ac:dyDescent="0.25">
      <c r="A310" s="16" t="s">
        <v>625</v>
      </c>
      <c r="B310" s="16" t="s">
        <v>626</v>
      </c>
      <c r="C310" s="17">
        <v>1</v>
      </c>
      <c r="D310" s="17" t="s">
        <v>1</v>
      </c>
      <c r="E310" s="18">
        <v>1</v>
      </c>
      <c r="F310" s="17">
        <v>1</v>
      </c>
      <c r="G310" s="19">
        <v>1</v>
      </c>
      <c r="H310" s="17" t="s">
        <v>1</v>
      </c>
      <c r="I310" s="20">
        <v>0</v>
      </c>
      <c r="J310" s="21">
        <v>1</v>
      </c>
      <c r="K310" s="22">
        <v>14</v>
      </c>
      <c r="L310" s="23">
        <v>1</v>
      </c>
      <c r="M310" s="24">
        <f>IF(MAX(0,ROUNDUP(F310*2-I310,0))=0,"",MAX(0,ROUNDUP(F310*2-I310,0)))</f>
        <v>2</v>
      </c>
    </row>
    <row r="311" spans="1:13" x14ac:dyDescent="0.25">
      <c r="A311" s="16" t="s">
        <v>627</v>
      </c>
      <c r="B311" s="16" t="s">
        <v>628</v>
      </c>
      <c r="C311" s="17">
        <v>1</v>
      </c>
      <c r="D311" s="17" t="s">
        <v>1</v>
      </c>
      <c r="E311" s="18">
        <v>1</v>
      </c>
      <c r="F311" s="17">
        <v>1</v>
      </c>
      <c r="G311" s="19" t="s">
        <v>1</v>
      </c>
      <c r="H311" s="17">
        <v>1</v>
      </c>
      <c r="I311" s="20">
        <v>0</v>
      </c>
      <c r="J311" s="21">
        <v>1</v>
      </c>
      <c r="K311" s="22">
        <v>14</v>
      </c>
      <c r="L311" s="23">
        <v>1</v>
      </c>
      <c r="M311" s="24">
        <f>IF(MAX(0,ROUNDUP(F311*2-I311,0))=0,"",MAX(0,ROUNDUP(F311*2-I311,0)))</f>
        <v>2</v>
      </c>
    </row>
    <row r="312" spans="1:13" x14ac:dyDescent="0.25">
      <c r="A312" s="16" t="s">
        <v>629</v>
      </c>
      <c r="B312" s="16" t="s">
        <v>630</v>
      </c>
      <c r="C312" s="17">
        <v>1</v>
      </c>
      <c r="D312" s="17">
        <v>1</v>
      </c>
      <c r="E312" s="18">
        <v>2</v>
      </c>
      <c r="F312" s="17">
        <v>2</v>
      </c>
      <c r="G312" s="19">
        <v>1</v>
      </c>
      <c r="H312" s="17">
        <v>1</v>
      </c>
      <c r="I312" s="20">
        <v>0</v>
      </c>
      <c r="J312" s="21">
        <v>1</v>
      </c>
      <c r="K312" s="22">
        <v>14</v>
      </c>
      <c r="L312" s="23">
        <v>1</v>
      </c>
      <c r="M312" s="24">
        <f>IF(MAX(0,ROUNDUP(F312*2-I312,0))=0,"",MAX(0,ROUNDUP(F312*2-I312,0)))</f>
        <v>4</v>
      </c>
    </row>
    <row r="313" spans="1:13" x14ac:dyDescent="0.25">
      <c r="A313" s="16" t="s">
        <v>631</v>
      </c>
      <c r="B313" s="16" t="s">
        <v>632</v>
      </c>
      <c r="C313" s="17">
        <v>1</v>
      </c>
      <c r="D313" s="17">
        <v>1</v>
      </c>
      <c r="E313" s="18">
        <v>2</v>
      </c>
      <c r="F313" s="17">
        <v>1</v>
      </c>
      <c r="G313" s="19">
        <v>1</v>
      </c>
      <c r="H313" s="17" t="s">
        <v>1</v>
      </c>
      <c r="I313" s="20">
        <v>1</v>
      </c>
      <c r="J313" s="21">
        <v>2</v>
      </c>
      <c r="K313" s="22">
        <v>28</v>
      </c>
      <c r="L313" s="23">
        <v>0.5</v>
      </c>
      <c r="M313" s="24">
        <f>IF(MAX(0,ROUNDUP(F313*2-I313,0))=0,"",MAX(0,ROUNDUP(F313*2-I313,0)))</f>
        <v>1</v>
      </c>
    </row>
    <row r="314" spans="1:13" x14ac:dyDescent="0.25">
      <c r="A314" s="16" t="s">
        <v>633</v>
      </c>
      <c r="B314" s="16" t="s">
        <v>634</v>
      </c>
      <c r="C314" s="17">
        <v>1</v>
      </c>
      <c r="D314" s="17">
        <v>3</v>
      </c>
      <c r="E314" s="18">
        <v>4</v>
      </c>
      <c r="F314" s="17">
        <v>3</v>
      </c>
      <c r="G314" s="19">
        <v>2</v>
      </c>
      <c r="H314" s="17">
        <v>1</v>
      </c>
      <c r="I314" s="20">
        <v>1</v>
      </c>
      <c r="J314" s="21">
        <v>1.333</v>
      </c>
      <c r="K314" s="22">
        <v>18.7</v>
      </c>
      <c r="L314" s="23">
        <v>0.75</v>
      </c>
      <c r="M314" s="24">
        <f>IF(MAX(0,ROUNDUP(F314*2-I314,0))=0,"",MAX(0,ROUNDUP(F314*2-I314,0)))</f>
        <v>5</v>
      </c>
    </row>
    <row r="315" spans="1:13" x14ac:dyDescent="0.25">
      <c r="A315" s="16" t="s">
        <v>635</v>
      </c>
      <c r="B315" s="16" t="s">
        <v>636</v>
      </c>
      <c r="C315" s="17">
        <v>1</v>
      </c>
      <c r="D315" s="17">
        <v>1</v>
      </c>
      <c r="E315" s="18">
        <v>2</v>
      </c>
      <c r="F315" s="17">
        <v>1</v>
      </c>
      <c r="G315" s="19">
        <v>1</v>
      </c>
      <c r="H315" s="17" t="s">
        <v>1</v>
      </c>
      <c r="I315" s="20">
        <v>1</v>
      </c>
      <c r="J315" s="21">
        <v>2</v>
      </c>
      <c r="K315" s="22">
        <v>28</v>
      </c>
      <c r="L315" s="23">
        <v>0.5</v>
      </c>
      <c r="M315" s="24">
        <f>IF(MAX(0,ROUNDUP(F315*2-I315,0))=0,"",MAX(0,ROUNDUP(F315*2-I315,0)))</f>
        <v>1</v>
      </c>
    </row>
    <row r="316" spans="1:13" x14ac:dyDescent="0.25">
      <c r="A316" s="16" t="s">
        <v>637</v>
      </c>
      <c r="B316" s="16" t="s">
        <v>638</v>
      </c>
      <c r="C316" s="17" t="s">
        <v>1</v>
      </c>
      <c r="D316" s="17">
        <v>2</v>
      </c>
      <c r="E316" s="18">
        <v>2</v>
      </c>
      <c r="F316" s="17">
        <v>1</v>
      </c>
      <c r="G316" s="19">
        <v>1</v>
      </c>
      <c r="H316" s="17" t="s">
        <v>1</v>
      </c>
      <c r="I316" s="20">
        <v>1</v>
      </c>
      <c r="J316" s="21">
        <v>2</v>
      </c>
      <c r="K316" s="22">
        <v>28</v>
      </c>
      <c r="L316" s="23">
        <v>0.5</v>
      </c>
      <c r="M316" s="24">
        <f>IF(MAX(0,ROUNDUP(F316*2-I316,0))=0,"",MAX(0,ROUNDUP(F316*2-I316,0)))</f>
        <v>1</v>
      </c>
    </row>
    <row r="317" spans="1:13" x14ac:dyDescent="0.25">
      <c r="A317" s="16" t="s">
        <v>639</v>
      </c>
      <c r="B317" s="16" t="s">
        <v>640</v>
      </c>
      <c r="C317" s="17">
        <v>1</v>
      </c>
      <c r="D317" s="17" t="s">
        <v>1</v>
      </c>
      <c r="E317" s="18">
        <v>1</v>
      </c>
      <c r="F317" s="17">
        <v>1</v>
      </c>
      <c r="G317" s="19">
        <v>1</v>
      </c>
      <c r="H317" s="17" t="s">
        <v>1</v>
      </c>
      <c r="I317" s="20">
        <v>0</v>
      </c>
      <c r="J317" s="21">
        <v>1</v>
      </c>
      <c r="K317" s="22">
        <v>14</v>
      </c>
      <c r="L317" s="23">
        <v>1</v>
      </c>
      <c r="M317" s="24">
        <f>IF(MAX(0,ROUNDUP(F317*2-I317,0))=0,"",MAX(0,ROUNDUP(F317*2-I317,0)))</f>
        <v>2</v>
      </c>
    </row>
    <row r="318" spans="1:13" x14ac:dyDescent="0.25">
      <c r="A318" s="16" t="s">
        <v>641</v>
      </c>
      <c r="B318" s="16" t="s">
        <v>642</v>
      </c>
      <c r="C318" s="17">
        <v>1</v>
      </c>
      <c r="D318" s="17">
        <v>1</v>
      </c>
      <c r="E318" s="18">
        <v>2</v>
      </c>
      <c r="F318" s="17">
        <v>1</v>
      </c>
      <c r="G318" s="19">
        <v>1</v>
      </c>
      <c r="H318" s="17" t="s">
        <v>1</v>
      </c>
      <c r="I318" s="20">
        <v>1</v>
      </c>
      <c r="J318" s="21">
        <v>2</v>
      </c>
      <c r="K318" s="22">
        <v>28</v>
      </c>
      <c r="L318" s="23">
        <v>0.5</v>
      </c>
      <c r="M318" s="24">
        <f>IF(MAX(0,ROUNDUP(F318*2-I318,0))=0,"",MAX(0,ROUNDUP(F318*2-I318,0)))</f>
        <v>1</v>
      </c>
    </row>
    <row r="319" spans="1:13" x14ac:dyDescent="0.25">
      <c r="A319" s="16" t="s">
        <v>643</v>
      </c>
      <c r="B319" s="16" t="s">
        <v>644</v>
      </c>
      <c r="C319" s="17" t="s">
        <v>1</v>
      </c>
      <c r="D319" s="17">
        <v>2</v>
      </c>
      <c r="E319" s="18">
        <v>2</v>
      </c>
      <c r="F319" s="17">
        <v>2</v>
      </c>
      <c r="G319" s="19">
        <v>2</v>
      </c>
      <c r="H319" s="17" t="s">
        <v>1</v>
      </c>
      <c r="I319" s="20">
        <v>0</v>
      </c>
      <c r="J319" s="21">
        <v>1</v>
      </c>
      <c r="K319" s="22">
        <v>14</v>
      </c>
      <c r="L319" s="23">
        <v>1</v>
      </c>
      <c r="M319" s="24">
        <f>IF(MAX(0,ROUNDUP(F319*2-I319,0))=0,"",MAX(0,ROUNDUP(F319*2-I319,0)))</f>
        <v>4</v>
      </c>
    </row>
    <row r="320" spans="1:13" x14ac:dyDescent="0.25">
      <c r="A320" s="16" t="s">
        <v>645</v>
      </c>
      <c r="B320" s="16" t="s">
        <v>646</v>
      </c>
      <c r="C320" s="17">
        <v>1</v>
      </c>
      <c r="D320" s="17" t="s">
        <v>1</v>
      </c>
      <c r="E320" s="18">
        <v>1</v>
      </c>
      <c r="F320" s="17">
        <v>1</v>
      </c>
      <c r="G320" s="19">
        <v>1</v>
      </c>
      <c r="H320" s="17" t="s">
        <v>1</v>
      </c>
      <c r="I320" s="20">
        <v>0</v>
      </c>
      <c r="J320" s="21">
        <v>1</v>
      </c>
      <c r="K320" s="22">
        <v>14</v>
      </c>
      <c r="L320" s="23">
        <v>1</v>
      </c>
      <c r="M320" s="24">
        <f>IF(MAX(0,ROUNDUP(F320*2-I320,0))=0,"",MAX(0,ROUNDUP(F320*2-I320,0)))</f>
        <v>2</v>
      </c>
    </row>
    <row r="321" spans="1:13" x14ac:dyDescent="0.25">
      <c r="A321" s="16" t="s">
        <v>647</v>
      </c>
      <c r="B321" s="16" t="s">
        <v>648</v>
      </c>
      <c r="C321" s="17" t="s">
        <v>1</v>
      </c>
      <c r="D321" s="17">
        <v>1</v>
      </c>
      <c r="E321" s="18">
        <v>1</v>
      </c>
      <c r="F321" s="17">
        <v>1</v>
      </c>
      <c r="G321" s="19">
        <v>1</v>
      </c>
      <c r="H321" s="17" t="s">
        <v>1</v>
      </c>
      <c r="I321" s="20">
        <v>0</v>
      </c>
      <c r="J321" s="21">
        <v>1</v>
      </c>
      <c r="K321" s="22">
        <v>14</v>
      </c>
      <c r="L321" s="23">
        <v>1</v>
      </c>
      <c r="M321" s="24">
        <f>IF(MAX(0,ROUNDUP(F321*2-I321,0))=0,"",MAX(0,ROUNDUP(F321*2-I321,0)))</f>
        <v>2</v>
      </c>
    </row>
    <row r="322" spans="1:13" x14ac:dyDescent="0.25">
      <c r="A322" s="16" t="s">
        <v>649</v>
      </c>
      <c r="B322" s="16" t="s">
        <v>650</v>
      </c>
      <c r="C322" s="17">
        <v>1</v>
      </c>
      <c r="D322" s="17" t="s">
        <v>1</v>
      </c>
      <c r="E322" s="18">
        <v>1</v>
      </c>
      <c r="F322" s="17">
        <v>1</v>
      </c>
      <c r="G322" s="19">
        <v>1</v>
      </c>
      <c r="H322" s="17" t="s">
        <v>1</v>
      </c>
      <c r="I322" s="20">
        <v>0</v>
      </c>
      <c r="J322" s="21">
        <v>1</v>
      </c>
      <c r="K322" s="22">
        <v>14</v>
      </c>
      <c r="L322" s="23">
        <v>1</v>
      </c>
      <c r="M322" s="24">
        <f>IF(MAX(0,ROUNDUP(F322*2-I322,0))=0,"",MAX(0,ROUNDUP(F322*2-I322,0)))</f>
        <v>2</v>
      </c>
    </row>
    <row r="323" spans="1:13" x14ac:dyDescent="0.25">
      <c r="A323" s="16" t="s">
        <v>651</v>
      </c>
      <c r="B323" s="16" t="s">
        <v>652</v>
      </c>
      <c r="C323" s="17">
        <v>2</v>
      </c>
      <c r="D323" s="17" t="s">
        <v>1</v>
      </c>
      <c r="E323" s="18">
        <v>2</v>
      </c>
      <c r="F323" s="17">
        <v>2</v>
      </c>
      <c r="G323" s="19">
        <v>2</v>
      </c>
      <c r="H323" s="17" t="s">
        <v>1</v>
      </c>
      <c r="I323" s="20">
        <v>0</v>
      </c>
      <c r="J323" s="21">
        <v>1</v>
      </c>
      <c r="K323" s="22">
        <v>14</v>
      </c>
      <c r="L323" s="23">
        <v>1</v>
      </c>
      <c r="M323" s="24">
        <f>IF(MAX(0,ROUNDUP(F323*2-I323,0))=0,"",MAX(0,ROUNDUP(F323*2-I323,0)))</f>
        <v>4</v>
      </c>
    </row>
    <row r="324" spans="1:13" x14ac:dyDescent="0.25">
      <c r="A324" s="16" t="s">
        <v>653</v>
      </c>
      <c r="B324" s="16" t="s">
        <v>654</v>
      </c>
      <c r="C324" s="17">
        <v>2</v>
      </c>
      <c r="D324" s="17" t="s">
        <v>1</v>
      </c>
      <c r="E324" s="18">
        <v>2</v>
      </c>
      <c r="F324" s="17">
        <v>2</v>
      </c>
      <c r="G324" s="19">
        <v>2</v>
      </c>
      <c r="H324" s="17" t="s">
        <v>1</v>
      </c>
      <c r="I324" s="20">
        <v>0</v>
      </c>
      <c r="J324" s="21">
        <v>1</v>
      </c>
      <c r="K324" s="22">
        <v>14</v>
      </c>
      <c r="L324" s="23">
        <v>1</v>
      </c>
      <c r="M324" s="24">
        <f>IF(MAX(0,ROUNDUP(F324*2-I324,0))=0,"",MAX(0,ROUNDUP(F324*2-I324,0)))</f>
        <v>4</v>
      </c>
    </row>
    <row r="325" spans="1:13" x14ac:dyDescent="0.25">
      <c r="A325" s="16" t="s">
        <v>655</v>
      </c>
      <c r="B325" s="16" t="s">
        <v>656</v>
      </c>
      <c r="C325" s="17">
        <v>1</v>
      </c>
      <c r="D325" s="17">
        <v>3</v>
      </c>
      <c r="E325" s="18">
        <v>4</v>
      </c>
      <c r="F325" s="17">
        <v>3</v>
      </c>
      <c r="G325" s="19">
        <v>3</v>
      </c>
      <c r="H325" s="17" t="s">
        <v>1</v>
      </c>
      <c r="I325" s="20">
        <v>1</v>
      </c>
      <c r="J325" s="21">
        <v>1.333</v>
      </c>
      <c r="K325" s="22">
        <v>18.7</v>
      </c>
      <c r="L325" s="23">
        <v>0.75</v>
      </c>
      <c r="M325" s="24">
        <f>IF(MAX(0,ROUNDUP(F325*2-I325,0))=0,"",MAX(0,ROUNDUP(F325*2-I325,0)))</f>
        <v>5</v>
      </c>
    </row>
    <row r="326" spans="1:13" x14ac:dyDescent="0.25">
      <c r="A326" s="16" t="s">
        <v>657</v>
      </c>
      <c r="B326" s="16" t="s">
        <v>658</v>
      </c>
      <c r="C326" s="17">
        <v>1</v>
      </c>
      <c r="D326" s="17" t="s">
        <v>1</v>
      </c>
      <c r="E326" s="18">
        <v>1</v>
      </c>
      <c r="F326" s="17">
        <v>1</v>
      </c>
      <c r="G326" s="19">
        <v>1</v>
      </c>
      <c r="H326" s="17" t="s">
        <v>1</v>
      </c>
      <c r="I326" s="20">
        <v>0</v>
      </c>
      <c r="J326" s="21">
        <v>1</v>
      </c>
      <c r="K326" s="22">
        <v>14</v>
      </c>
      <c r="L326" s="23">
        <v>1</v>
      </c>
      <c r="M326" s="24">
        <f>IF(MAX(0,ROUNDUP(F326*2-I326,0))=0,"",MAX(0,ROUNDUP(F326*2-I326,0)))</f>
        <v>2</v>
      </c>
    </row>
    <row r="327" spans="1:13" x14ac:dyDescent="0.25">
      <c r="A327" s="16" t="s">
        <v>659</v>
      </c>
      <c r="B327" s="16" t="s">
        <v>660</v>
      </c>
      <c r="C327" s="17">
        <v>1</v>
      </c>
      <c r="D327" s="17">
        <v>3</v>
      </c>
      <c r="E327" s="18">
        <v>4</v>
      </c>
      <c r="F327" s="17">
        <v>3</v>
      </c>
      <c r="G327" s="19">
        <v>3</v>
      </c>
      <c r="H327" s="17" t="s">
        <v>1</v>
      </c>
      <c r="I327" s="20">
        <v>1</v>
      </c>
      <c r="J327" s="21">
        <v>1.333</v>
      </c>
      <c r="K327" s="22">
        <v>18.7</v>
      </c>
      <c r="L327" s="23">
        <v>0.75</v>
      </c>
      <c r="M327" s="24">
        <f>IF(MAX(0,ROUNDUP(F327*2-I327,0))=0,"",MAX(0,ROUNDUP(F327*2-I327,0)))</f>
        <v>5</v>
      </c>
    </row>
    <row r="328" spans="1:13" x14ac:dyDescent="0.25">
      <c r="A328" s="16" t="s">
        <v>661</v>
      </c>
      <c r="B328" s="16" t="s">
        <v>662</v>
      </c>
      <c r="C328" s="17">
        <v>1</v>
      </c>
      <c r="D328" s="17">
        <v>1</v>
      </c>
      <c r="E328" s="18">
        <v>2</v>
      </c>
      <c r="F328" s="17">
        <v>1</v>
      </c>
      <c r="G328" s="19">
        <v>1</v>
      </c>
      <c r="H328" s="17" t="s">
        <v>1</v>
      </c>
      <c r="I328" s="20">
        <v>1</v>
      </c>
      <c r="J328" s="21">
        <v>2</v>
      </c>
      <c r="K328" s="22">
        <v>28</v>
      </c>
      <c r="L328" s="23">
        <v>0.5</v>
      </c>
      <c r="M328" s="24">
        <f>IF(MAX(0,ROUNDUP(F328*2-I328,0))=0,"",MAX(0,ROUNDUP(F328*2-I328,0)))</f>
        <v>1</v>
      </c>
    </row>
    <row r="329" spans="1:13" x14ac:dyDescent="0.25">
      <c r="A329" s="16" t="s">
        <v>663</v>
      </c>
      <c r="B329" s="16" t="s">
        <v>664</v>
      </c>
      <c r="C329" s="17">
        <v>1</v>
      </c>
      <c r="D329" s="17">
        <v>2</v>
      </c>
      <c r="E329" s="18">
        <v>3</v>
      </c>
      <c r="F329" s="17">
        <v>2</v>
      </c>
      <c r="G329" s="19">
        <v>2</v>
      </c>
      <c r="H329" s="17" t="s">
        <v>1</v>
      </c>
      <c r="I329" s="20">
        <v>1</v>
      </c>
      <c r="J329" s="21">
        <v>1.5</v>
      </c>
      <c r="K329" s="22">
        <v>21</v>
      </c>
      <c r="L329" s="23">
        <v>0.667</v>
      </c>
      <c r="M329" s="24">
        <f>IF(MAX(0,ROUNDUP(F329*2-I329,0))=0,"",MAX(0,ROUNDUP(F329*2-I329,0)))</f>
        <v>3</v>
      </c>
    </row>
    <row r="330" spans="1:13" x14ac:dyDescent="0.25">
      <c r="A330" s="16" t="s">
        <v>665</v>
      </c>
      <c r="B330" s="16" t="s">
        <v>666</v>
      </c>
      <c r="C330" s="17">
        <v>1</v>
      </c>
      <c r="D330" s="17">
        <v>1</v>
      </c>
      <c r="E330" s="18">
        <v>2</v>
      </c>
      <c r="F330" s="17">
        <v>1</v>
      </c>
      <c r="G330" s="19">
        <v>1</v>
      </c>
      <c r="H330" s="17" t="s">
        <v>1</v>
      </c>
      <c r="I330" s="20">
        <v>1</v>
      </c>
      <c r="J330" s="21">
        <v>2</v>
      </c>
      <c r="K330" s="22">
        <v>28</v>
      </c>
      <c r="L330" s="23">
        <v>0.5</v>
      </c>
      <c r="M330" s="24">
        <f>IF(MAX(0,ROUNDUP(F330*2-I330,0))=0,"",MAX(0,ROUNDUP(F330*2-I330,0)))</f>
        <v>1</v>
      </c>
    </row>
    <row r="331" spans="1:13" x14ac:dyDescent="0.25">
      <c r="A331" s="16" t="s">
        <v>667</v>
      </c>
      <c r="B331" s="16" t="s">
        <v>668</v>
      </c>
      <c r="C331" s="17">
        <v>1</v>
      </c>
      <c r="D331" s="17">
        <v>1</v>
      </c>
      <c r="E331" s="18">
        <v>2</v>
      </c>
      <c r="F331" s="17">
        <v>1</v>
      </c>
      <c r="G331" s="19" t="s">
        <v>1</v>
      </c>
      <c r="H331" s="17">
        <v>1</v>
      </c>
      <c r="I331" s="20">
        <v>1</v>
      </c>
      <c r="J331" s="21">
        <v>2</v>
      </c>
      <c r="K331" s="22">
        <v>28</v>
      </c>
      <c r="L331" s="23">
        <v>0.5</v>
      </c>
      <c r="M331" s="24">
        <f>IF(MAX(0,ROUNDUP(F331*2-I331,0))=0,"",MAX(0,ROUNDUP(F331*2-I331,0)))</f>
        <v>1</v>
      </c>
    </row>
    <row r="332" spans="1:13" x14ac:dyDescent="0.25">
      <c r="A332" s="16" t="s">
        <v>669</v>
      </c>
      <c r="B332" s="16" t="s">
        <v>670</v>
      </c>
      <c r="C332" s="17">
        <v>1</v>
      </c>
      <c r="D332" s="17">
        <v>1</v>
      </c>
      <c r="E332" s="18">
        <v>2</v>
      </c>
      <c r="F332" s="17">
        <v>1</v>
      </c>
      <c r="G332" s="19">
        <v>1</v>
      </c>
      <c r="H332" s="17" t="s">
        <v>1</v>
      </c>
      <c r="I332" s="20">
        <v>1</v>
      </c>
      <c r="J332" s="21">
        <v>2</v>
      </c>
      <c r="K332" s="22">
        <v>28</v>
      </c>
      <c r="L332" s="23">
        <v>0.5</v>
      </c>
      <c r="M332" s="24">
        <f>IF(MAX(0,ROUNDUP(F332*2-I332,0))=0,"",MAX(0,ROUNDUP(F332*2-I332,0)))</f>
        <v>1</v>
      </c>
    </row>
    <row r="333" spans="1:13" x14ac:dyDescent="0.25">
      <c r="A333" s="16" t="s">
        <v>671</v>
      </c>
      <c r="B333" s="16" t="s">
        <v>672</v>
      </c>
      <c r="C333" s="17">
        <v>1</v>
      </c>
      <c r="D333" s="17">
        <v>1</v>
      </c>
      <c r="E333" s="18">
        <v>2</v>
      </c>
      <c r="F333" s="17">
        <v>1</v>
      </c>
      <c r="G333" s="19" t="s">
        <v>1</v>
      </c>
      <c r="H333" s="17">
        <v>1</v>
      </c>
      <c r="I333" s="20">
        <v>1</v>
      </c>
      <c r="J333" s="21">
        <v>2</v>
      </c>
      <c r="K333" s="22">
        <v>28</v>
      </c>
      <c r="L333" s="23">
        <v>0.5</v>
      </c>
      <c r="M333" s="24">
        <f>IF(MAX(0,ROUNDUP(F333*2-I333,0))=0,"",MAX(0,ROUNDUP(F333*2-I333,0)))</f>
        <v>1</v>
      </c>
    </row>
    <row r="334" spans="1:13" x14ac:dyDescent="0.25">
      <c r="A334" s="16" t="s">
        <v>673</v>
      </c>
      <c r="B334" s="16" t="s">
        <v>674</v>
      </c>
      <c r="C334" s="17" t="s">
        <v>1</v>
      </c>
      <c r="D334" s="17">
        <v>2</v>
      </c>
      <c r="E334" s="18">
        <v>2</v>
      </c>
      <c r="F334" s="17">
        <v>1</v>
      </c>
      <c r="G334" s="19">
        <v>1</v>
      </c>
      <c r="H334" s="17" t="s">
        <v>1</v>
      </c>
      <c r="I334" s="20">
        <v>1</v>
      </c>
      <c r="J334" s="21">
        <v>2</v>
      </c>
      <c r="K334" s="22">
        <v>28</v>
      </c>
      <c r="L334" s="23">
        <v>0.5</v>
      </c>
      <c r="M334" s="24">
        <f>IF(MAX(0,ROUNDUP(F334*2-I334,0))=0,"",MAX(0,ROUNDUP(F334*2-I334,0)))</f>
        <v>1</v>
      </c>
    </row>
    <row r="335" spans="1:13" x14ac:dyDescent="0.25">
      <c r="A335" s="16" t="s">
        <v>675</v>
      </c>
      <c r="B335" s="16" t="s">
        <v>676</v>
      </c>
      <c r="C335" s="17">
        <v>1</v>
      </c>
      <c r="D335" s="17">
        <v>2</v>
      </c>
      <c r="E335" s="18">
        <v>3</v>
      </c>
      <c r="F335" s="17">
        <v>2</v>
      </c>
      <c r="G335" s="19">
        <v>2</v>
      </c>
      <c r="H335" s="17" t="s">
        <v>1</v>
      </c>
      <c r="I335" s="20">
        <v>1</v>
      </c>
      <c r="J335" s="21">
        <v>1.5</v>
      </c>
      <c r="K335" s="22">
        <v>21</v>
      </c>
      <c r="L335" s="23">
        <v>0.667</v>
      </c>
      <c r="M335" s="24">
        <f>IF(MAX(0,ROUNDUP(F335*2-I335,0))=0,"",MAX(0,ROUNDUP(F335*2-I335,0)))</f>
        <v>3</v>
      </c>
    </row>
    <row r="336" spans="1:13" x14ac:dyDescent="0.25">
      <c r="A336" s="16" t="s">
        <v>677</v>
      </c>
      <c r="B336" s="16" t="s">
        <v>678</v>
      </c>
      <c r="C336" s="17">
        <v>1</v>
      </c>
      <c r="D336" s="17">
        <v>1</v>
      </c>
      <c r="E336" s="18">
        <v>2</v>
      </c>
      <c r="F336" s="17">
        <v>1</v>
      </c>
      <c r="G336" s="19">
        <v>1</v>
      </c>
      <c r="H336" s="17" t="s">
        <v>1</v>
      </c>
      <c r="I336" s="20">
        <v>1</v>
      </c>
      <c r="J336" s="21">
        <v>2</v>
      </c>
      <c r="K336" s="22">
        <v>28</v>
      </c>
      <c r="L336" s="23">
        <v>0.5</v>
      </c>
      <c r="M336" s="24">
        <f>IF(MAX(0,ROUNDUP(F336*2-I336,0))=0,"",MAX(0,ROUNDUP(F336*2-I336,0)))</f>
        <v>1</v>
      </c>
    </row>
    <row r="337" spans="1:13" x14ac:dyDescent="0.25">
      <c r="A337" s="16" t="s">
        <v>679</v>
      </c>
      <c r="B337" s="16" t="s">
        <v>680</v>
      </c>
      <c r="C337" s="17">
        <v>1</v>
      </c>
      <c r="D337" s="17">
        <v>1</v>
      </c>
      <c r="E337" s="18">
        <v>2</v>
      </c>
      <c r="F337" s="17">
        <v>1</v>
      </c>
      <c r="G337" s="19">
        <v>1</v>
      </c>
      <c r="H337" s="17" t="s">
        <v>1</v>
      </c>
      <c r="I337" s="20">
        <v>1</v>
      </c>
      <c r="J337" s="21">
        <v>2</v>
      </c>
      <c r="K337" s="22">
        <v>28</v>
      </c>
      <c r="L337" s="23">
        <v>0.5</v>
      </c>
      <c r="M337" s="24">
        <f>IF(MAX(0,ROUNDUP(F337*2-I337,0))=0,"",MAX(0,ROUNDUP(F337*2-I337,0)))</f>
        <v>1</v>
      </c>
    </row>
    <row r="338" spans="1:13" x14ac:dyDescent="0.25">
      <c r="A338" s="16" t="s">
        <v>681</v>
      </c>
      <c r="B338" s="16" t="s">
        <v>682</v>
      </c>
      <c r="C338" s="17">
        <v>1</v>
      </c>
      <c r="D338" s="17">
        <v>1</v>
      </c>
      <c r="E338" s="18">
        <v>2</v>
      </c>
      <c r="F338" s="17">
        <v>1</v>
      </c>
      <c r="G338" s="19">
        <v>1</v>
      </c>
      <c r="H338" s="17" t="s">
        <v>1</v>
      </c>
      <c r="I338" s="20">
        <v>1</v>
      </c>
      <c r="J338" s="21">
        <v>2</v>
      </c>
      <c r="K338" s="22">
        <v>28</v>
      </c>
      <c r="L338" s="23">
        <v>0.5</v>
      </c>
      <c r="M338" s="24">
        <f>IF(MAX(0,ROUNDUP(F338*2-I338,0))=0,"",MAX(0,ROUNDUP(F338*2-I338,0)))</f>
        <v>1</v>
      </c>
    </row>
    <row r="339" spans="1:13" x14ac:dyDescent="0.25">
      <c r="A339" s="16" t="s">
        <v>683</v>
      </c>
      <c r="B339" s="16" t="s">
        <v>684</v>
      </c>
      <c r="C339" s="17">
        <v>1</v>
      </c>
      <c r="D339" s="17">
        <v>1</v>
      </c>
      <c r="E339" s="18">
        <v>2</v>
      </c>
      <c r="F339" s="17">
        <v>1</v>
      </c>
      <c r="G339" s="19">
        <v>1</v>
      </c>
      <c r="H339" s="17" t="s">
        <v>1</v>
      </c>
      <c r="I339" s="20">
        <v>1</v>
      </c>
      <c r="J339" s="21">
        <v>2</v>
      </c>
      <c r="K339" s="22">
        <v>28</v>
      </c>
      <c r="L339" s="23">
        <v>0.5</v>
      </c>
      <c r="M339" s="24">
        <f>IF(MAX(0,ROUNDUP(F339*2-I339,0))=0,"",MAX(0,ROUNDUP(F339*2-I339,0)))</f>
        <v>1</v>
      </c>
    </row>
    <row r="340" spans="1:13" x14ac:dyDescent="0.25">
      <c r="A340" s="16" t="s">
        <v>685</v>
      </c>
      <c r="B340" s="16" t="s">
        <v>686</v>
      </c>
      <c r="C340" s="17" t="s">
        <v>1</v>
      </c>
      <c r="D340" s="17">
        <v>1</v>
      </c>
      <c r="E340" s="18">
        <v>1</v>
      </c>
      <c r="F340" s="17">
        <v>1</v>
      </c>
      <c r="G340" s="19" t="s">
        <v>1</v>
      </c>
      <c r="H340" s="17">
        <v>1</v>
      </c>
      <c r="I340" s="20">
        <v>0</v>
      </c>
      <c r="J340" s="21">
        <v>1</v>
      </c>
      <c r="K340" s="22">
        <v>14</v>
      </c>
      <c r="L340" s="23">
        <v>1</v>
      </c>
      <c r="M340" s="24">
        <f>IF(MAX(0,ROUNDUP(F340*2-I340,0))=0,"",MAX(0,ROUNDUP(F340*2-I340,0)))</f>
        <v>2</v>
      </c>
    </row>
    <row r="341" spans="1:13" x14ac:dyDescent="0.25">
      <c r="A341" s="16" t="s">
        <v>687</v>
      </c>
      <c r="B341" s="16" t="s">
        <v>688</v>
      </c>
      <c r="C341" s="17">
        <v>1</v>
      </c>
      <c r="D341" s="17">
        <v>4</v>
      </c>
      <c r="E341" s="18">
        <v>5</v>
      </c>
      <c r="F341" s="17">
        <v>5</v>
      </c>
      <c r="G341" s="19">
        <v>5</v>
      </c>
      <c r="H341" s="17" t="s">
        <v>1</v>
      </c>
      <c r="I341" s="20">
        <v>0</v>
      </c>
      <c r="J341" s="21">
        <v>1</v>
      </c>
      <c r="K341" s="22">
        <v>14</v>
      </c>
      <c r="L341" s="23">
        <v>1</v>
      </c>
      <c r="M341" s="24">
        <f>IF(MAX(0,ROUNDUP(F341*2-I341,0))=0,"",MAX(0,ROUNDUP(F341*2-I341,0)))</f>
        <v>10</v>
      </c>
    </row>
    <row r="342" spans="1:13" x14ac:dyDescent="0.25">
      <c r="A342" s="16" t="s">
        <v>689</v>
      </c>
      <c r="B342" s="16" t="s">
        <v>690</v>
      </c>
      <c r="C342" s="17">
        <v>1</v>
      </c>
      <c r="D342" s="17">
        <v>1</v>
      </c>
      <c r="E342" s="18">
        <v>2</v>
      </c>
      <c r="F342" s="17">
        <v>1</v>
      </c>
      <c r="G342" s="19">
        <v>1</v>
      </c>
      <c r="H342" s="17" t="s">
        <v>1</v>
      </c>
      <c r="I342" s="20">
        <v>1</v>
      </c>
      <c r="J342" s="21">
        <v>2</v>
      </c>
      <c r="K342" s="22">
        <v>28</v>
      </c>
      <c r="L342" s="23">
        <v>0.5</v>
      </c>
      <c r="M342" s="24">
        <f>IF(MAX(0,ROUNDUP(F342*2-I342,0))=0,"",MAX(0,ROUNDUP(F342*2-I342,0)))</f>
        <v>1</v>
      </c>
    </row>
    <row r="343" spans="1:13" x14ac:dyDescent="0.25">
      <c r="A343" s="16" t="s">
        <v>691</v>
      </c>
      <c r="B343" s="16" t="s">
        <v>692</v>
      </c>
      <c r="C343" s="17">
        <v>1</v>
      </c>
      <c r="D343" s="17" t="s">
        <v>1</v>
      </c>
      <c r="E343" s="18">
        <v>1</v>
      </c>
      <c r="F343" s="17">
        <v>1</v>
      </c>
      <c r="G343" s="19" t="s">
        <v>1</v>
      </c>
      <c r="H343" s="17">
        <v>1</v>
      </c>
      <c r="I343" s="20">
        <v>0</v>
      </c>
      <c r="J343" s="21">
        <v>1</v>
      </c>
      <c r="K343" s="22">
        <v>14</v>
      </c>
      <c r="L343" s="23">
        <v>1</v>
      </c>
      <c r="M343" s="24">
        <f>IF(MAX(0,ROUNDUP(F343*2-I343,0))=0,"",MAX(0,ROUNDUP(F343*2-I343,0)))</f>
        <v>2</v>
      </c>
    </row>
    <row r="344" spans="1:13" x14ac:dyDescent="0.25">
      <c r="A344" s="16" t="s">
        <v>693</v>
      </c>
      <c r="B344" s="16" t="s">
        <v>694</v>
      </c>
      <c r="C344" s="17">
        <v>1</v>
      </c>
      <c r="D344" s="17" t="s">
        <v>1</v>
      </c>
      <c r="E344" s="18">
        <v>1</v>
      </c>
      <c r="F344" s="17">
        <v>1</v>
      </c>
      <c r="G344" s="19" t="s">
        <v>1</v>
      </c>
      <c r="H344" s="17">
        <v>1</v>
      </c>
      <c r="I344" s="20">
        <v>0</v>
      </c>
      <c r="J344" s="21">
        <v>1</v>
      </c>
      <c r="K344" s="22">
        <v>14</v>
      </c>
      <c r="L344" s="23">
        <v>1</v>
      </c>
      <c r="M344" s="24">
        <f>IF(MAX(0,ROUNDUP(F344*2-I344,0))=0,"",MAX(0,ROUNDUP(F344*2-I344,0)))</f>
        <v>2</v>
      </c>
    </row>
    <row r="345" spans="1:13" x14ac:dyDescent="0.25">
      <c r="A345" s="16" t="s">
        <v>695</v>
      </c>
      <c r="B345" s="16" t="s">
        <v>696</v>
      </c>
      <c r="C345" s="17">
        <v>1</v>
      </c>
      <c r="D345" s="17" t="s">
        <v>1</v>
      </c>
      <c r="E345" s="18">
        <v>1</v>
      </c>
      <c r="F345" s="17">
        <v>1</v>
      </c>
      <c r="G345" s="19" t="s">
        <v>1</v>
      </c>
      <c r="H345" s="17">
        <v>1</v>
      </c>
      <c r="I345" s="20">
        <v>0</v>
      </c>
      <c r="J345" s="21">
        <v>1</v>
      </c>
      <c r="K345" s="22">
        <v>14</v>
      </c>
      <c r="L345" s="23">
        <v>1</v>
      </c>
      <c r="M345" s="24">
        <f>IF(MAX(0,ROUNDUP(F345*2-I345,0))=0,"",MAX(0,ROUNDUP(F345*2-I345,0)))</f>
        <v>2</v>
      </c>
    </row>
    <row r="346" spans="1:13" x14ac:dyDescent="0.25">
      <c r="A346" s="16" t="s">
        <v>697</v>
      </c>
      <c r="B346" s="16" t="s">
        <v>698</v>
      </c>
      <c r="C346" s="17">
        <v>1</v>
      </c>
      <c r="D346" s="17">
        <v>4</v>
      </c>
      <c r="E346" s="18">
        <v>5</v>
      </c>
      <c r="F346" s="17">
        <v>4</v>
      </c>
      <c r="G346" s="19">
        <v>3</v>
      </c>
      <c r="H346" s="17">
        <v>1</v>
      </c>
      <c r="I346" s="20">
        <v>1</v>
      </c>
      <c r="J346" s="21">
        <v>1.25</v>
      </c>
      <c r="K346" s="22">
        <v>17.5</v>
      </c>
      <c r="L346" s="23">
        <v>0.8</v>
      </c>
      <c r="M346" s="24">
        <f>IF(MAX(0,ROUNDUP(F346*2-I346,0))=0,"",MAX(0,ROUNDUP(F346*2-I346,0)))</f>
        <v>7</v>
      </c>
    </row>
    <row r="347" spans="1:13" x14ac:dyDescent="0.25">
      <c r="A347" s="16" t="s">
        <v>699</v>
      </c>
      <c r="B347" s="16" t="s">
        <v>700</v>
      </c>
      <c r="C347" s="17">
        <v>1</v>
      </c>
      <c r="D347" s="17" t="s">
        <v>1</v>
      </c>
      <c r="E347" s="18">
        <v>1</v>
      </c>
      <c r="F347" s="17">
        <v>1</v>
      </c>
      <c r="G347" s="19" t="s">
        <v>1</v>
      </c>
      <c r="H347" s="17">
        <v>1</v>
      </c>
      <c r="I347" s="20">
        <v>0</v>
      </c>
      <c r="J347" s="21">
        <v>1</v>
      </c>
      <c r="K347" s="22">
        <v>14</v>
      </c>
      <c r="L347" s="23">
        <v>1</v>
      </c>
      <c r="M347" s="24">
        <f>IF(MAX(0,ROUNDUP(F347*2-I347,0))=0,"",MAX(0,ROUNDUP(F347*2-I347,0)))</f>
        <v>2</v>
      </c>
    </row>
    <row r="348" spans="1:13" x14ac:dyDescent="0.25">
      <c r="A348" s="16" t="s">
        <v>701</v>
      </c>
      <c r="B348" s="16" t="s">
        <v>702</v>
      </c>
      <c r="C348" s="17">
        <v>1</v>
      </c>
      <c r="D348" s="17" t="s">
        <v>1</v>
      </c>
      <c r="E348" s="18">
        <v>1</v>
      </c>
      <c r="F348" s="17">
        <v>1</v>
      </c>
      <c r="G348" s="19" t="s">
        <v>1</v>
      </c>
      <c r="H348" s="17">
        <v>1</v>
      </c>
      <c r="I348" s="20">
        <v>0</v>
      </c>
      <c r="J348" s="21">
        <v>1</v>
      </c>
      <c r="K348" s="22">
        <v>14</v>
      </c>
      <c r="L348" s="23">
        <v>1</v>
      </c>
      <c r="M348" s="24">
        <f>IF(MAX(0,ROUNDUP(F348*2-I348,0))=0,"",MAX(0,ROUNDUP(F348*2-I348,0)))</f>
        <v>2</v>
      </c>
    </row>
    <row r="349" spans="1:13" x14ac:dyDescent="0.25">
      <c r="A349" s="16" t="s">
        <v>703</v>
      </c>
      <c r="B349" s="16" t="s">
        <v>704</v>
      </c>
      <c r="C349" s="17">
        <v>1</v>
      </c>
      <c r="D349" s="17">
        <v>1</v>
      </c>
      <c r="E349" s="18">
        <v>2</v>
      </c>
      <c r="F349" s="17">
        <v>1</v>
      </c>
      <c r="G349" s="19">
        <v>1</v>
      </c>
      <c r="H349" s="17" t="s">
        <v>1</v>
      </c>
      <c r="I349" s="20">
        <v>1</v>
      </c>
      <c r="J349" s="21">
        <v>2</v>
      </c>
      <c r="K349" s="22">
        <v>28</v>
      </c>
      <c r="L349" s="23">
        <v>0.5</v>
      </c>
      <c r="M349" s="24">
        <f>IF(MAX(0,ROUNDUP(F349*2-I349,0))=0,"",MAX(0,ROUNDUP(F349*2-I349,0)))</f>
        <v>1</v>
      </c>
    </row>
    <row r="350" spans="1:13" x14ac:dyDescent="0.25">
      <c r="A350" s="16" t="s">
        <v>705</v>
      </c>
      <c r="B350" s="16" t="s">
        <v>706</v>
      </c>
      <c r="C350" s="17">
        <v>1</v>
      </c>
      <c r="D350" s="17">
        <v>1</v>
      </c>
      <c r="E350" s="18">
        <v>2</v>
      </c>
      <c r="F350" s="17">
        <v>1</v>
      </c>
      <c r="G350" s="19">
        <v>1</v>
      </c>
      <c r="H350" s="17" t="s">
        <v>1</v>
      </c>
      <c r="I350" s="20">
        <v>1</v>
      </c>
      <c r="J350" s="21">
        <v>2</v>
      </c>
      <c r="K350" s="22">
        <v>28</v>
      </c>
      <c r="L350" s="23">
        <v>0.5</v>
      </c>
      <c r="M350" s="24">
        <f>IF(MAX(0,ROUNDUP(F350*2-I350,0))=0,"",MAX(0,ROUNDUP(F350*2-I350,0)))</f>
        <v>1</v>
      </c>
    </row>
    <row r="351" spans="1:13" x14ac:dyDescent="0.25">
      <c r="A351" s="16" t="s">
        <v>707</v>
      </c>
      <c r="B351" s="16" t="s">
        <v>708</v>
      </c>
      <c r="C351" s="17">
        <v>1</v>
      </c>
      <c r="D351" s="17">
        <v>1</v>
      </c>
      <c r="E351" s="18">
        <v>2</v>
      </c>
      <c r="F351" s="17">
        <v>1</v>
      </c>
      <c r="G351" s="19">
        <v>1</v>
      </c>
      <c r="H351" s="17" t="s">
        <v>1</v>
      </c>
      <c r="I351" s="20">
        <v>1</v>
      </c>
      <c r="J351" s="21">
        <v>2</v>
      </c>
      <c r="K351" s="22">
        <v>28</v>
      </c>
      <c r="L351" s="23">
        <v>0.5</v>
      </c>
      <c r="M351" s="24">
        <f>IF(MAX(0,ROUNDUP(F351*2-I351,0))=0,"",MAX(0,ROUNDUP(F351*2-I351,0)))</f>
        <v>1</v>
      </c>
    </row>
    <row r="352" spans="1:13" x14ac:dyDescent="0.25">
      <c r="A352" s="16" t="s">
        <v>709</v>
      </c>
      <c r="B352" s="16" t="s">
        <v>710</v>
      </c>
      <c r="C352" s="17">
        <v>1</v>
      </c>
      <c r="D352" s="17">
        <v>2</v>
      </c>
      <c r="E352" s="18">
        <v>3</v>
      </c>
      <c r="F352" s="17">
        <v>2</v>
      </c>
      <c r="G352" s="19">
        <v>2</v>
      </c>
      <c r="H352" s="17" t="s">
        <v>1</v>
      </c>
      <c r="I352" s="20">
        <v>1</v>
      </c>
      <c r="J352" s="21">
        <v>1.5</v>
      </c>
      <c r="K352" s="22">
        <v>21</v>
      </c>
      <c r="L352" s="23">
        <v>0.667</v>
      </c>
      <c r="M352" s="24">
        <f>IF(MAX(0,ROUNDUP(F352*2-I352,0))=0,"",MAX(0,ROUNDUP(F352*2-I352,0)))</f>
        <v>3</v>
      </c>
    </row>
    <row r="353" spans="1:13" x14ac:dyDescent="0.25">
      <c r="A353" s="16" t="s">
        <v>711</v>
      </c>
      <c r="B353" s="16" t="s">
        <v>712</v>
      </c>
      <c r="C353" s="17">
        <v>1</v>
      </c>
      <c r="D353" s="17">
        <v>1</v>
      </c>
      <c r="E353" s="18">
        <v>2</v>
      </c>
      <c r="F353" s="17">
        <v>1</v>
      </c>
      <c r="G353" s="19">
        <v>1</v>
      </c>
      <c r="H353" s="17" t="s">
        <v>1</v>
      </c>
      <c r="I353" s="20">
        <v>1</v>
      </c>
      <c r="J353" s="21">
        <v>2</v>
      </c>
      <c r="K353" s="22">
        <v>28</v>
      </c>
      <c r="L353" s="23">
        <v>0.5</v>
      </c>
      <c r="M353" s="24">
        <f>IF(MAX(0,ROUNDUP(F353*2-I353,0))=0,"",MAX(0,ROUNDUP(F353*2-I353,0)))</f>
        <v>1</v>
      </c>
    </row>
    <row r="354" spans="1:13" x14ac:dyDescent="0.25">
      <c r="A354" s="16" t="s">
        <v>713</v>
      </c>
      <c r="B354" s="16" t="s">
        <v>714</v>
      </c>
      <c r="C354" s="17">
        <v>1</v>
      </c>
      <c r="D354" s="17" t="s">
        <v>1</v>
      </c>
      <c r="E354" s="18">
        <v>1</v>
      </c>
      <c r="F354" s="17">
        <v>1</v>
      </c>
      <c r="G354" s="19">
        <v>1</v>
      </c>
      <c r="H354" s="17" t="s">
        <v>1</v>
      </c>
      <c r="I354" s="20">
        <v>0</v>
      </c>
      <c r="J354" s="21">
        <v>1</v>
      </c>
      <c r="K354" s="22">
        <v>14</v>
      </c>
      <c r="L354" s="23">
        <v>1</v>
      </c>
      <c r="M354" s="24">
        <f>IF(MAX(0,ROUNDUP(F354*2-I354,0))=0,"",MAX(0,ROUNDUP(F354*2-I354,0)))</f>
        <v>2</v>
      </c>
    </row>
    <row r="355" spans="1:13" x14ac:dyDescent="0.25">
      <c r="A355" s="16" t="s">
        <v>715</v>
      </c>
      <c r="B355" s="16" t="s">
        <v>716</v>
      </c>
      <c r="C355" s="17">
        <v>1</v>
      </c>
      <c r="D355" s="17">
        <v>1</v>
      </c>
      <c r="E355" s="18">
        <v>2</v>
      </c>
      <c r="F355" s="17">
        <v>1</v>
      </c>
      <c r="G355" s="19">
        <v>1</v>
      </c>
      <c r="H355" s="17" t="s">
        <v>1</v>
      </c>
      <c r="I355" s="20">
        <v>1</v>
      </c>
      <c r="J355" s="21">
        <v>2</v>
      </c>
      <c r="K355" s="22">
        <v>28</v>
      </c>
      <c r="L355" s="23">
        <v>0.5</v>
      </c>
      <c r="M355" s="24">
        <f>IF(MAX(0,ROUNDUP(F355*2-I355,0))=0,"",MAX(0,ROUNDUP(F355*2-I355,0)))</f>
        <v>1</v>
      </c>
    </row>
    <row r="356" spans="1:13" x14ac:dyDescent="0.25">
      <c r="A356" s="16" t="s">
        <v>717</v>
      </c>
      <c r="B356" s="16" t="s">
        <v>718</v>
      </c>
      <c r="C356" s="17">
        <v>1</v>
      </c>
      <c r="D356" s="17">
        <v>1</v>
      </c>
      <c r="E356" s="18">
        <v>2</v>
      </c>
      <c r="F356" s="17">
        <v>1</v>
      </c>
      <c r="G356" s="19">
        <v>1</v>
      </c>
      <c r="H356" s="17" t="s">
        <v>1</v>
      </c>
      <c r="I356" s="20">
        <v>1</v>
      </c>
      <c r="J356" s="21">
        <v>2</v>
      </c>
      <c r="K356" s="22">
        <v>28</v>
      </c>
      <c r="L356" s="23">
        <v>0.5</v>
      </c>
      <c r="M356" s="24">
        <f>IF(MAX(0,ROUNDUP(F356*2-I356,0))=0,"",MAX(0,ROUNDUP(F356*2-I356,0)))</f>
        <v>1</v>
      </c>
    </row>
    <row r="357" spans="1:13" x14ac:dyDescent="0.25">
      <c r="A357" s="16" t="s">
        <v>719</v>
      </c>
      <c r="B357" s="16" t="s">
        <v>720</v>
      </c>
      <c r="C357" s="17">
        <v>1</v>
      </c>
      <c r="D357" s="17">
        <v>1</v>
      </c>
      <c r="E357" s="18">
        <v>2</v>
      </c>
      <c r="F357" s="17">
        <v>1</v>
      </c>
      <c r="G357" s="19">
        <v>1</v>
      </c>
      <c r="H357" s="17" t="s">
        <v>1</v>
      </c>
      <c r="I357" s="20">
        <v>1</v>
      </c>
      <c r="J357" s="21">
        <v>2</v>
      </c>
      <c r="K357" s="22">
        <v>28</v>
      </c>
      <c r="L357" s="23">
        <v>0.5</v>
      </c>
      <c r="M357" s="24">
        <f>IF(MAX(0,ROUNDUP(F357*2-I357,0))=0,"",MAX(0,ROUNDUP(F357*2-I357,0)))</f>
        <v>1</v>
      </c>
    </row>
    <row r="358" spans="1:13" x14ac:dyDescent="0.25">
      <c r="A358" s="16" t="s">
        <v>721</v>
      </c>
      <c r="B358" s="16" t="s">
        <v>722</v>
      </c>
      <c r="C358" s="17">
        <v>1</v>
      </c>
      <c r="D358" s="17" t="s">
        <v>1</v>
      </c>
      <c r="E358" s="18">
        <v>1</v>
      </c>
      <c r="F358" s="17">
        <v>1</v>
      </c>
      <c r="G358" s="19">
        <v>1</v>
      </c>
      <c r="H358" s="17" t="s">
        <v>1</v>
      </c>
      <c r="I358" s="20">
        <v>0</v>
      </c>
      <c r="J358" s="21">
        <v>1</v>
      </c>
      <c r="K358" s="22">
        <v>14</v>
      </c>
      <c r="L358" s="23">
        <v>1</v>
      </c>
      <c r="M358" s="24">
        <f>IF(MAX(0,ROUNDUP(F358*2-I358,0))=0,"",MAX(0,ROUNDUP(F358*2-I358,0)))</f>
        <v>2</v>
      </c>
    </row>
    <row r="359" spans="1:13" x14ac:dyDescent="0.25">
      <c r="A359" s="16" t="s">
        <v>723</v>
      </c>
      <c r="B359" s="16" t="s">
        <v>724</v>
      </c>
      <c r="C359" s="17">
        <v>1</v>
      </c>
      <c r="D359" s="17">
        <v>1</v>
      </c>
      <c r="E359" s="18">
        <v>2</v>
      </c>
      <c r="F359" s="17">
        <v>1</v>
      </c>
      <c r="G359" s="19">
        <v>1</v>
      </c>
      <c r="H359" s="17" t="s">
        <v>1</v>
      </c>
      <c r="I359" s="20">
        <v>1</v>
      </c>
      <c r="J359" s="21">
        <v>2</v>
      </c>
      <c r="K359" s="22">
        <v>28</v>
      </c>
      <c r="L359" s="23">
        <v>0.5</v>
      </c>
      <c r="M359" s="24">
        <f>IF(MAX(0,ROUNDUP(F359*2-I359,0))=0,"",MAX(0,ROUNDUP(F359*2-I359,0)))</f>
        <v>1</v>
      </c>
    </row>
    <row r="360" spans="1:13" x14ac:dyDescent="0.25">
      <c r="A360" s="16" t="s">
        <v>725</v>
      </c>
      <c r="B360" s="16" t="s">
        <v>726</v>
      </c>
      <c r="C360" s="17">
        <v>1</v>
      </c>
      <c r="D360" s="17">
        <v>1</v>
      </c>
      <c r="E360" s="18">
        <v>2</v>
      </c>
      <c r="F360" s="17">
        <v>1</v>
      </c>
      <c r="G360" s="19">
        <v>1</v>
      </c>
      <c r="H360" s="17" t="s">
        <v>1</v>
      </c>
      <c r="I360" s="20">
        <v>1</v>
      </c>
      <c r="J360" s="21">
        <v>2</v>
      </c>
      <c r="K360" s="22">
        <v>28</v>
      </c>
      <c r="L360" s="23">
        <v>0.5</v>
      </c>
      <c r="M360" s="24">
        <f>IF(MAX(0,ROUNDUP(F360*2-I360,0))=0,"",MAX(0,ROUNDUP(F360*2-I360,0)))</f>
        <v>1</v>
      </c>
    </row>
    <row r="361" spans="1:13" x14ac:dyDescent="0.25">
      <c r="A361" s="16" t="s">
        <v>727</v>
      </c>
      <c r="B361" s="16" t="s">
        <v>728</v>
      </c>
      <c r="C361" s="17">
        <v>1</v>
      </c>
      <c r="D361" s="17" t="s">
        <v>1</v>
      </c>
      <c r="E361" s="18">
        <v>1</v>
      </c>
      <c r="F361" s="17">
        <v>1</v>
      </c>
      <c r="G361" s="19">
        <v>1</v>
      </c>
      <c r="H361" s="17" t="s">
        <v>1</v>
      </c>
      <c r="I361" s="20">
        <v>0</v>
      </c>
      <c r="J361" s="21">
        <v>1</v>
      </c>
      <c r="K361" s="22">
        <v>14</v>
      </c>
      <c r="L361" s="23">
        <v>1</v>
      </c>
      <c r="M361" s="24">
        <f>IF(MAX(0,ROUNDUP(F361*2-I361,0))=0,"",MAX(0,ROUNDUP(F361*2-I361,0)))</f>
        <v>2</v>
      </c>
    </row>
    <row r="362" spans="1:13" x14ac:dyDescent="0.25">
      <c r="A362" s="16" t="s">
        <v>729</v>
      </c>
      <c r="B362" s="16" t="s">
        <v>730</v>
      </c>
      <c r="C362" s="17">
        <v>2</v>
      </c>
      <c r="D362" s="17">
        <v>3</v>
      </c>
      <c r="E362" s="18">
        <v>5</v>
      </c>
      <c r="F362" s="17">
        <v>3</v>
      </c>
      <c r="G362" s="19">
        <v>3</v>
      </c>
      <c r="H362" s="17" t="s">
        <v>1</v>
      </c>
      <c r="I362" s="20">
        <v>2</v>
      </c>
      <c r="J362" s="21">
        <v>1.667</v>
      </c>
      <c r="K362" s="22">
        <v>23.3</v>
      </c>
      <c r="L362" s="23">
        <v>0.6</v>
      </c>
      <c r="M362" s="24">
        <f>IF(MAX(0,ROUNDUP(F362*2-I362,0))=0,"",MAX(0,ROUNDUP(F362*2-I362,0)))</f>
        <v>4</v>
      </c>
    </row>
    <row r="363" spans="1:13" x14ac:dyDescent="0.25">
      <c r="A363" s="16" t="s">
        <v>731</v>
      </c>
      <c r="B363" s="16" t="s">
        <v>732</v>
      </c>
      <c r="C363" s="17">
        <v>1</v>
      </c>
      <c r="D363" s="17">
        <v>3</v>
      </c>
      <c r="E363" s="18">
        <v>4</v>
      </c>
      <c r="F363" s="17">
        <v>4</v>
      </c>
      <c r="G363" s="19">
        <v>3</v>
      </c>
      <c r="H363" s="17">
        <v>1</v>
      </c>
      <c r="I363" s="20">
        <v>0</v>
      </c>
      <c r="J363" s="21">
        <v>1</v>
      </c>
      <c r="K363" s="22">
        <v>14</v>
      </c>
      <c r="L363" s="23">
        <v>1</v>
      </c>
      <c r="M363" s="24">
        <f>IF(MAX(0,ROUNDUP(F363*2-I363,0))=0,"",MAX(0,ROUNDUP(F363*2-I363,0)))</f>
        <v>8</v>
      </c>
    </row>
    <row r="364" spans="1:13" x14ac:dyDescent="0.25">
      <c r="A364" s="16" t="s">
        <v>733</v>
      </c>
      <c r="B364" s="16" t="s">
        <v>734</v>
      </c>
      <c r="C364" s="17">
        <v>1</v>
      </c>
      <c r="D364" s="17" t="s">
        <v>1</v>
      </c>
      <c r="E364" s="18">
        <v>1</v>
      </c>
      <c r="F364" s="17">
        <v>1</v>
      </c>
      <c r="G364" s="19" t="s">
        <v>1</v>
      </c>
      <c r="H364" s="17">
        <v>1</v>
      </c>
      <c r="I364" s="20">
        <v>0</v>
      </c>
      <c r="J364" s="21">
        <v>1</v>
      </c>
      <c r="K364" s="22">
        <v>14</v>
      </c>
      <c r="L364" s="23">
        <v>1</v>
      </c>
      <c r="M364" s="24">
        <f>IF(MAX(0,ROUNDUP(F364*2-I364,0))=0,"",MAX(0,ROUNDUP(F364*2-I364,0)))</f>
        <v>2</v>
      </c>
    </row>
    <row r="365" spans="1:13" x14ac:dyDescent="0.25">
      <c r="A365" s="16" t="s">
        <v>735</v>
      </c>
      <c r="B365" s="16" t="s">
        <v>736</v>
      </c>
      <c r="C365" s="17">
        <v>1</v>
      </c>
      <c r="D365" s="17" t="s">
        <v>1</v>
      </c>
      <c r="E365" s="18">
        <v>1</v>
      </c>
      <c r="F365" s="17">
        <v>1</v>
      </c>
      <c r="G365" s="19" t="s">
        <v>1</v>
      </c>
      <c r="H365" s="17">
        <v>1</v>
      </c>
      <c r="I365" s="20">
        <v>0</v>
      </c>
      <c r="J365" s="21">
        <v>1</v>
      </c>
      <c r="K365" s="22">
        <v>14</v>
      </c>
      <c r="L365" s="23">
        <v>1</v>
      </c>
      <c r="M365" s="24">
        <f>IF(MAX(0,ROUNDUP(F365*2-I365,0))=0,"",MAX(0,ROUNDUP(F365*2-I365,0)))</f>
        <v>2</v>
      </c>
    </row>
    <row r="366" spans="1:13" x14ac:dyDescent="0.25">
      <c r="A366" s="16" t="s">
        <v>737</v>
      </c>
      <c r="B366" s="16" t="s">
        <v>738</v>
      </c>
      <c r="C366" s="17">
        <v>1</v>
      </c>
      <c r="D366" s="17" t="s">
        <v>1</v>
      </c>
      <c r="E366" s="18">
        <v>1</v>
      </c>
      <c r="F366" s="17">
        <v>1</v>
      </c>
      <c r="G366" s="19" t="s">
        <v>1</v>
      </c>
      <c r="H366" s="17">
        <v>1</v>
      </c>
      <c r="I366" s="20">
        <v>0</v>
      </c>
      <c r="J366" s="21">
        <v>1</v>
      </c>
      <c r="K366" s="22">
        <v>14</v>
      </c>
      <c r="L366" s="23">
        <v>1</v>
      </c>
      <c r="M366" s="24">
        <f>IF(MAX(0,ROUNDUP(F366*2-I366,0))=0,"",MAX(0,ROUNDUP(F366*2-I366,0)))</f>
        <v>2</v>
      </c>
    </row>
    <row r="367" spans="1:13" x14ac:dyDescent="0.25">
      <c r="A367" s="16" t="s">
        <v>739</v>
      </c>
      <c r="B367" s="16" t="s">
        <v>740</v>
      </c>
      <c r="C367" s="17">
        <v>1</v>
      </c>
      <c r="D367" s="17" t="s">
        <v>1</v>
      </c>
      <c r="E367" s="18">
        <v>1</v>
      </c>
      <c r="F367" s="17">
        <v>1</v>
      </c>
      <c r="G367" s="19">
        <v>1</v>
      </c>
      <c r="H367" s="17" t="s">
        <v>1</v>
      </c>
      <c r="I367" s="20">
        <v>0</v>
      </c>
      <c r="J367" s="21">
        <v>1</v>
      </c>
      <c r="K367" s="22">
        <v>14</v>
      </c>
      <c r="L367" s="23">
        <v>1</v>
      </c>
      <c r="M367" s="24">
        <f>IF(MAX(0,ROUNDUP(F367*2-I367,0))=0,"",MAX(0,ROUNDUP(F367*2-I367,0)))</f>
        <v>2</v>
      </c>
    </row>
    <row r="368" spans="1:13" x14ac:dyDescent="0.25">
      <c r="A368" s="16" t="s">
        <v>741</v>
      </c>
      <c r="B368" s="16" t="s">
        <v>742</v>
      </c>
      <c r="C368" s="17">
        <v>1</v>
      </c>
      <c r="D368" s="17" t="s">
        <v>1</v>
      </c>
      <c r="E368" s="18">
        <v>1</v>
      </c>
      <c r="F368" s="17">
        <v>1</v>
      </c>
      <c r="G368" s="19">
        <v>1</v>
      </c>
      <c r="H368" s="17" t="s">
        <v>1</v>
      </c>
      <c r="I368" s="20">
        <v>0</v>
      </c>
      <c r="J368" s="21">
        <v>1</v>
      </c>
      <c r="K368" s="22">
        <v>14</v>
      </c>
      <c r="L368" s="23">
        <v>1</v>
      </c>
      <c r="M368" s="24">
        <f>IF(MAX(0,ROUNDUP(F368*2-I368,0))=0,"",MAX(0,ROUNDUP(F368*2-I368,0)))</f>
        <v>2</v>
      </c>
    </row>
    <row r="369" spans="1:13" x14ac:dyDescent="0.25">
      <c r="A369" s="16" t="s">
        <v>743</v>
      </c>
      <c r="B369" s="16" t="s">
        <v>744</v>
      </c>
      <c r="C369" s="17">
        <v>1</v>
      </c>
      <c r="D369" s="17" t="s">
        <v>1</v>
      </c>
      <c r="E369" s="18">
        <v>1</v>
      </c>
      <c r="F369" s="17">
        <v>1</v>
      </c>
      <c r="G369" s="19" t="s">
        <v>1</v>
      </c>
      <c r="H369" s="17">
        <v>1</v>
      </c>
      <c r="I369" s="20">
        <v>0</v>
      </c>
      <c r="J369" s="21">
        <v>1</v>
      </c>
      <c r="K369" s="22">
        <v>14</v>
      </c>
      <c r="L369" s="23">
        <v>1</v>
      </c>
      <c r="M369" s="24">
        <f>IF(MAX(0,ROUNDUP(F369*2-I369,0))=0,"",MAX(0,ROUNDUP(F369*2-I369,0)))</f>
        <v>2</v>
      </c>
    </row>
    <row r="370" spans="1:13" x14ac:dyDescent="0.25">
      <c r="A370" s="16" t="s">
        <v>745</v>
      </c>
      <c r="B370" s="16" t="s">
        <v>746</v>
      </c>
      <c r="C370" s="17">
        <v>1</v>
      </c>
      <c r="D370" s="17">
        <v>1</v>
      </c>
      <c r="E370" s="18">
        <v>2</v>
      </c>
      <c r="F370" s="17">
        <v>2</v>
      </c>
      <c r="G370" s="19">
        <v>1</v>
      </c>
      <c r="H370" s="17">
        <v>1</v>
      </c>
      <c r="I370" s="20">
        <v>0</v>
      </c>
      <c r="J370" s="21">
        <v>1</v>
      </c>
      <c r="K370" s="22">
        <v>14</v>
      </c>
      <c r="L370" s="23">
        <v>1</v>
      </c>
      <c r="M370" s="24">
        <f>IF(MAX(0,ROUNDUP(F370*2-I370,0))=0,"",MAX(0,ROUNDUP(F370*2-I370,0)))</f>
        <v>4</v>
      </c>
    </row>
    <row r="371" spans="1:13" x14ac:dyDescent="0.25">
      <c r="A371" s="16" t="s">
        <v>747</v>
      </c>
      <c r="B371" s="16" t="s">
        <v>748</v>
      </c>
      <c r="C371" s="17">
        <v>1</v>
      </c>
      <c r="D371" s="17">
        <v>1</v>
      </c>
      <c r="E371" s="18">
        <v>2</v>
      </c>
      <c r="F371" s="17">
        <v>1</v>
      </c>
      <c r="G371" s="19">
        <v>1</v>
      </c>
      <c r="H371" s="17" t="s">
        <v>1</v>
      </c>
      <c r="I371" s="20">
        <v>1</v>
      </c>
      <c r="J371" s="21">
        <v>2</v>
      </c>
      <c r="K371" s="22">
        <v>28</v>
      </c>
      <c r="L371" s="23">
        <v>0.5</v>
      </c>
      <c r="M371" s="24">
        <f>IF(MAX(0,ROUNDUP(F371*2-I371,0))=0,"",MAX(0,ROUNDUP(F371*2-I371,0)))</f>
        <v>1</v>
      </c>
    </row>
    <row r="372" spans="1:13" x14ac:dyDescent="0.25">
      <c r="A372" s="16" t="s">
        <v>749</v>
      </c>
      <c r="B372" s="16" t="s">
        <v>750</v>
      </c>
      <c r="C372" s="17">
        <v>1</v>
      </c>
      <c r="D372" s="17">
        <v>1</v>
      </c>
      <c r="E372" s="18">
        <v>2</v>
      </c>
      <c r="F372" s="17">
        <v>1</v>
      </c>
      <c r="G372" s="19">
        <v>1</v>
      </c>
      <c r="H372" s="17" t="s">
        <v>1</v>
      </c>
      <c r="I372" s="20">
        <v>1</v>
      </c>
      <c r="J372" s="21">
        <v>2</v>
      </c>
      <c r="K372" s="22">
        <v>28</v>
      </c>
      <c r="L372" s="23">
        <v>0.5</v>
      </c>
      <c r="M372" s="24">
        <f>IF(MAX(0,ROUNDUP(F372*2-I372,0))=0,"",MAX(0,ROUNDUP(F372*2-I372,0)))</f>
        <v>1</v>
      </c>
    </row>
    <row r="373" spans="1:13" x14ac:dyDescent="0.25">
      <c r="A373" s="16" t="s">
        <v>751</v>
      </c>
      <c r="B373" s="16" t="s">
        <v>752</v>
      </c>
      <c r="C373" s="17">
        <v>1</v>
      </c>
      <c r="D373" s="17">
        <v>2</v>
      </c>
      <c r="E373" s="18">
        <v>3</v>
      </c>
      <c r="F373" s="17">
        <v>2</v>
      </c>
      <c r="G373" s="19">
        <v>2</v>
      </c>
      <c r="H373" s="17" t="s">
        <v>1</v>
      </c>
      <c r="I373" s="20">
        <v>1</v>
      </c>
      <c r="J373" s="21">
        <v>1.5</v>
      </c>
      <c r="K373" s="22">
        <v>21</v>
      </c>
      <c r="L373" s="23">
        <v>0.667</v>
      </c>
      <c r="M373" s="24">
        <f>IF(MAX(0,ROUNDUP(F373*2-I373,0))=0,"",MAX(0,ROUNDUP(F373*2-I373,0)))</f>
        <v>3</v>
      </c>
    </row>
    <row r="374" spans="1:13" x14ac:dyDescent="0.25">
      <c r="A374" s="16" t="s">
        <v>753</v>
      </c>
      <c r="B374" s="16" t="s">
        <v>754</v>
      </c>
      <c r="C374" s="17">
        <v>1</v>
      </c>
      <c r="D374" s="17">
        <v>1</v>
      </c>
      <c r="E374" s="18">
        <v>2</v>
      </c>
      <c r="F374" s="17">
        <v>1</v>
      </c>
      <c r="G374" s="19">
        <v>1</v>
      </c>
      <c r="H374" s="17" t="s">
        <v>1</v>
      </c>
      <c r="I374" s="20">
        <v>1</v>
      </c>
      <c r="J374" s="21">
        <v>2</v>
      </c>
      <c r="K374" s="22">
        <v>28</v>
      </c>
      <c r="L374" s="23">
        <v>0.5</v>
      </c>
      <c r="M374" s="24">
        <f>IF(MAX(0,ROUNDUP(F374*2-I374,0))=0,"",MAX(0,ROUNDUP(F374*2-I374,0)))</f>
        <v>1</v>
      </c>
    </row>
    <row r="375" spans="1:13" x14ac:dyDescent="0.25">
      <c r="A375" s="16" t="s">
        <v>755</v>
      </c>
      <c r="B375" s="16" t="s">
        <v>756</v>
      </c>
      <c r="C375" s="17">
        <v>1</v>
      </c>
      <c r="D375" s="17" t="s">
        <v>1</v>
      </c>
      <c r="E375" s="18">
        <v>1</v>
      </c>
      <c r="F375" s="17">
        <v>1</v>
      </c>
      <c r="G375" s="19">
        <v>1</v>
      </c>
      <c r="H375" s="17" t="s">
        <v>1</v>
      </c>
      <c r="I375" s="20">
        <v>0</v>
      </c>
      <c r="J375" s="21">
        <v>1</v>
      </c>
      <c r="K375" s="22">
        <v>14</v>
      </c>
      <c r="L375" s="23">
        <v>1</v>
      </c>
      <c r="M375" s="24">
        <f>IF(MAX(0,ROUNDUP(F375*2-I375,0))=0,"",MAX(0,ROUNDUP(F375*2-I375,0)))</f>
        <v>2</v>
      </c>
    </row>
    <row r="376" spans="1:13" x14ac:dyDescent="0.25">
      <c r="A376" s="16" t="s">
        <v>757</v>
      </c>
      <c r="B376" s="16" t="s">
        <v>758</v>
      </c>
      <c r="C376" s="17">
        <v>1</v>
      </c>
      <c r="D376" s="17" t="s">
        <v>1</v>
      </c>
      <c r="E376" s="18">
        <v>1</v>
      </c>
      <c r="F376" s="17">
        <v>1</v>
      </c>
      <c r="G376" s="19">
        <v>1</v>
      </c>
      <c r="H376" s="17" t="s">
        <v>1</v>
      </c>
      <c r="I376" s="20">
        <v>0</v>
      </c>
      <c r="J376" s="21">
        <v>1</v>
      </c>
      <c r="K376" s="22">
        <v>14</v>
      </c>
      <c r="L376" s="23">
        <v>1</v>
      </c>
      <c r="M376" s="24">
        <f>IF(MAX(0,ROUNDUP(F376*2-I376,0))=0,"",MAX(0,ROUNDUP(F376*2-I376,0)))</f>
        <v>2</v>
      </c>
    </row>
    <row r="377" spans="1:13" x14ac:dyDescent="0.25">
      <c r="A377" s="16" t="s">
        <v>759</v>
      </c>
      <c r="B377" s="16" t="s">
        <v>760</v>
      </c>
      <c r="C377" s="17">
        <v>1</v>
      </c>
      <c r="D377" s="17">
        <v>1</v>
      </c>
      <c r="E377" s="18">
        <v>2</v>
      </c>
      <c r="F377" s="17">
        <v>1</v>
      </c>
      <c r="G377" s="19">
        <v>1</v>
      </c>
      <c r="H377" s="17" t="s">
        <v>1</v>
      </c>
      <c r="I377" s="20">
        <v>1</v>
      </c>
      <c r="J377" s="21">
        <v>2</v>
      </c>
      <c r="K377" s="22">
        <v>28</v>
      </c>
      <c r="L377" s="23">
        <v>0.5</v>
      </c>
      <c r="M377" s="24">
        <f>IF(MAX(0,ROUNDUP(F377*2-I377,0))=0,"",MAX(0,ROUNDUP(F377*2-I377,0)))</f>
        <v>1</v>
      </c>
    </row>
    <row r="378" spans="1:13" x14ac:dyDescent="0.25">
      <c r="A378" s="16" t="s">
        <v>761</v>
      </c>
      <c r="B378" s="16" t="s">
        <v>762</v>
      </c>
      <c r="C378" s="17">
        <v>1</v>
      </c>
      <c r="D378" s="17">
        <v>1</v>
      </c>
      <c r="E378" s="18">
        <v>2</v>
      </c>
      <c r="F378" s="17">
        <v>1</v>
      </c>
      <c r="G378" s="19">
        <v>1</v>
      </c>
      <c r="H378" s="17" t="s">
        <v>1</v>
      </c>
      <c r="I378" s="20">
        <v>1</v>
      </c>
      <c r="J378" s="21">
        <v>2</v>
      </c>
      <c r="K378" s="22">
        <v>28</v>
      </c>
      <c r="L378" s="23">
        <v>0.5</v>
      </c>
      <c r="M378" s="24">
        <f>IF(MAX(0,ROUNDUP(F378*2-I378,0))=0,"",MAX(0,ROUNDUP(F378*2-I378,0)))</f>
        <v>1</v>
      </c>
    </row>
    <row r="379" spans="1:13" x14ac:dyDescent="0.25">
      <c r="A379" s="16" t="s">
        <v>763</v>
      </c>
      <c r="B379" s="16" t="s">
        <v>764</v>
      </c>
      <c r="C379" s="17">
        <v>1</v>
      </c>
      <c r="D379" s="17" t="s">
        <v>1</v>
      </c>
      <c r="E379" s="18">
        <v>1</v>
      </c>
      <c r="F379" s="17">
        <v>1</v>
      </c>
      <c r="G379" s="19">
        <v>1</v>
      </c>
      <c r="H379" s="17" t="s">
        <v>1</v>
      </c>
      <c r="I379" s="20">
        <v>0</v>
      </c>
      <c r="J379" s="21">
        <v>1</v>
      </c>
      <c r="K379" s="22">
        <v>14</v>
      </c>
      <c r="L379" s="23">
        <v>1</v>
      </c>
      <c r="M379" s="24">
        <f>IF(MAX(0,ROUNDUP(F379*2-I379,0))=0,"",MAX(0,ROUNDUP(F379*2-I379,0)))</f>
        <v>2</v>
      </c>
    </row>
    <row r="380" spans="1:13" x14ac:dyDescent="0.25">
      <c r="A380" s="16" t="s">
        <v>765</v>
      </c>
      <c r="B380" s="16" t="s">
        <v>766</v>
      </c>
      <c r="C380" s="17">
        <v>1</v>
      </c>
      <c r="D380" s="17" t="s">
        <v>1</v>
      </c>
      <c r="E380" s="18">
        <v>1</v>
      </c>
      <c r="F380" s="17">
        <v>1</v>
      </c>
      <c r="G380" s="19" t="s">
        <v>1</v>
      </c>
      <c r="H380" s="17">
        <v>1</v>
      </c>
      <c r="I380" s="20">
        <v>0</v>
      </c>
      <c r="J380" s="21">
        <v>1</v>
      </c>
      <c r="K380" s="22">
        <v>14</v>
      </c>
      <c r="L380" s="23">
        <v>1</v>
      </c>
      <c r="M380" s="24">
        <f>IF(MAX(0,ROUNDUP(F380*2-I380,0))=0,"",MAX(0,ROUNDUP(F380*2-I380,0)))</f>
        <v>2</v>
      </c>
    </row>
    <row r="381" spans="1:13" x14ac:dyDescent="0.25">
      <c r="A381" s="16" t="s">
        <v>767</v>
      </c>
      <c r="B381" s="16" t="s">
        <v>768</v>
      </c>
      <c r="C381" s="17">
        <v>1</v>
      </c>
      <c r="D381" s="17">
        <v>1</v>
      </c>
      <c r="E381" s="18">
        <v>2</v>
      </c>
      <c r="F381" s="17">
        <v>1</v>
      </c>
      <c r="G381" s="19">
        <v>1</v>
      </c>
      <c r="H381" s="17" t="s">
        <v>1</v>
      </c>
      <c r="I381" s="20">
        <v>1</v>
      </c>
      <c r="J381" s="21">
        <v>2</v>
      </c>
      <c r="K381" s="22">
        <v>28</v>
      </c>
      <c r="L381" s="23">
        <v>0.5</v>
      </c>
      <c r="M381" s="24">
        <f>IF(MAX(0,ROUNDUP(F381*2-I381,0))=0,"",MAX(0,ROUNDUP(F381*2-I381,0)))</f>
        <v>1</v>
      </c>
    </row>
    <row r="382" spans="1:13" x14ac:dyDescent="0.25">
      <c r="A382" s="16" t="s">
        <v>769</v>
      </c>
      <c r="B382" s="16" t="s">
        <v>770</v>
      </c>
      <c r="C382" s="17">
        <v>1</v>
      </c>
      <c r="D382" s="17">
        <v>1</v>
      </c>
      <c r="E382" s="18">
        <v>2</v>
      </c>
      <c r="F382" s="17">
        <v>1</v>
      </c>
      <c r="G382" s="19">
        <v>1</v>
      </c>
      <c r="H382" s="17" t="s">
        <v>1</v>
      </c>
      <c r="I382" s="20">
        <v>1</v>
      </c>
      <c r="J382" s="21">
        <v>2</v>
      </c>
      <c r="K382" s="22">
        <v>28</v>
      </c>
      <c r="L382" s="23">
        <v>0.5</v>
      </c>
      <c r="M382" s="24">
        <f>IF(MAX(0,ROUNDUP(F382*2-I382,0))=0,"",MAX(0,ROUNDUP(F382*2-I382,0)))</f>
        <v>1</v>
      </c>
    </row>
    <row r="383" spans="1:13" x14ac:dyDescent="0.25">
      <c r="A383" s="16" t="s">
        <v>771</v>
      </c>
      <c r="B383" s="16" t="s">
        <v>772</v>
      </c>
      <c r="C383" s="17">
        <v>1</v>
      </c>
      <c r="D383" s="17">
        <v>1</v>
      </c>
      <c r="E383" s="18">
        <v>2</v>
      </c>
      <c r="F383" s="17">
        <v>1</v>
      </c>
      <c r="G383" s="19">
        <v>1</v>
      </c>
      <c r="H383" s="17" t="s">
        <v>1</v>
      </c>
      <c r="I383" s="20">
        <v>1</v>
      </c>
      <c r="J383" s="21">
        <v>2</v>
      </c>
      <c r="K383" s="22">
        <v>28</v>
      </c>
      <c r="L383" s="23">
        <v>0.5</v>
      </c>
      <c r="M383" s="24">
        <f>IF(MAX(0,ROUNDUP(F383*2-I383,0))=0,"",MAX(0,ROUNDUP(F383*2-I383,0)))</f>
        <v>1</v>
      </c>
    </row>
    <row r="384" spans="1:13" x14ac:dyDescent="0.25">
      <c r="A384" s="16" t="s">
        <v>773</v>
      </c>
      <c r="B384" s="16" t="s">
        <v>774</v>
      </c>
      <c r="C384" s="17">
        <v>1</v>
      </c>
      <c r="D384" s="17">
        <v>2</v>
      </c>
      <c r="E384" s="18">
        <v>3</v>
      </c>
      <c r="F384" s="17">
        <v>2</v>
      </c>
      <c r="G384" s="19">
        <v>2</v>
      </c>
      <c r="H384" s="17" t="s">
        <v>1</v>
      </c>
      <c r="I384" s="20">
        <v>1</v>
      </c>
      <c r="J384" s="21">
        <v>1.5</v>
      </c>
      <c r="K384" s="22">
        <v>21</v>
      </c>
      <c r="L384" s="23">
        <v>0.667</v>
      </c>
      <c r="M384" s="24">
        <f>IF(MAX(0,ROUNDUP(F384*2-I384,0))=0,"",MAX(0,ROUNDUP(F384*2-I384,0)))</f>
        <v>3</v>
      </c>
    </row>
    <row r="385" spans="1:13" x14ac:dyDescent="0.25">
      <c r="A385" s="16" t="s">
        <v>775</v>
      </c>
      <c r="B385" s="16" t="s">
        <v>776</v>
      </c>
      <c r="C385" s="17" t="s">
        <v>1</v>
      </c>
      <c r="D385" s="17">
        <v>2</v>
      </c>
      <c r="E385" s="18">
        <v>2</v>
      </c>
      <c r="F385" s="17">
        <v>1</v>
      </c>
      <c r="G385" s="19">
        <v>1</v>
      </c>
      <c r="H385" s="17" t="s">
        <v>1</v>
      </c>
      <c r="I385" s="20">
        <v>1</v>
      </c>
      <c r="J385" s="21">
        <v>2</v>
      </c>
      <c r="K385" s="22">
        <v>28</v>
      </c>
      <c r="L385" s="23">
        <v>0.5</v>
      </c>
      <c r="M385" s="24">
        <f>IF(MAX(0,ROUNDUP(F385*2-I385,0))=0,"",MAX(0,ROUNDUP(F385*2-I385,0)))</f>
        <v>1</v>
      </c>
    </row>
    <row r="386" spans="1:13" x14ac:dyDescent="0.25">
      <c r="A386" s="16" t="s">
        <v>777</v>
      </c>
      <c r="B386" s="16" t="s">
        <v>778</v>
      </c>
      <c r="C386" s="17">
        <v>1</v>
      </c>
      <c r="D386" s="17" t="s">
        <v>1</v>
      </c>
      <c r="E386" s="18">
        <v>1</v>
      </c>
      <c r="F386" s="17">
        <v>1</v>
      </c>
      <c r="G386" s="19">
        <v>1</v>
      </c>
      <c r="H386" s="17" t="s">
        <v>1</v>
      </c>
      <c r="I386" s="20">
        <v>0</v>
      </c>
      <c r="J386" s="21">
        <v>1</v>
      </c>
      <c r="K386" s="22">
        <v>14</v>
      </c>
      <c r="L386" s="23">
        <v>1</v>
      </c>
      <c r="M386" s="24">
        <f>IF(MAX(0,ROUNDUP(F386*2-I386,0))=0,"",MAX(0,ROUNDUP(F386*2-I386,0)))</f>
        <v>2</v>
      </c>
    </row>
    <row r="387" spans="1:13" x14ac:dyDescent="0.25">
      <c r="A387" s="16" t="s">
        <v>779</v>
      </c>
      <c r="B387" s="16" t="s">
        <v>780</v>
      </c>
      <c r="C387" s="17" t="s">
        <v>1</v>
      </c>
      <c r="D387" s="17">
        <v>3</v>
      </c>
      <c r="E387" s="18">
        <v>3</v>
      </c>
      <c r="F387" s="17">
        <v>2</v>
      </c>
      <c r="G387" s="19">
        <v>2</v>
      </c>
      <c r="H387" s="17" t="s">
        <v>1</v>
      </c>
      <c r="I387" s="20">
        <v>1</v>
      </c>
      <c r="J387" s="21">
        <v>1.5</v>
      </c>
      <c r="K387" s="22">
        <v>21</v>
      </c>
      <c r="L387" s="23">
        <v>0.667</v>
      </c>
      <c r="M387" s="24">
        <f>IF(MAX(0,ROUNDUP(F387*2-I387,0))=0,"",MAX(0,ROUNDUP(F387*2-I387,0)))</f>
        <v>3</v>
      </c>
    </row>
    <row r="388" spans="1:13" x14ac:dyDescent="0.25">
      <c r="A388" s="16" t="s">
        <v>781</v>
      </c>
      <c r="B388" s="16" t="s">
        <v>782</v>
      </c>
      <c r="C388" s="17">
        <v>6</v>
      </c>
      <c r="D388" s="17" t="s">
        <v>1</v>
      </c>
      <c r="E388" s="18">
        <v>6</v>
      </c>
      <c r="F388" s="17">
        <v>5</v>
      </c>
      <c r="G388" s="19">
        <v>5</v>
      </c>
      <c r="H388" s="17" t="s">
        <v>1</v>
      </c>
      <c r="I388" s="20">
        <v>1</v>
      </c>
      <c r="J388" s="21">
        <v>1.2</v>
      </c>
      <c r="K388" s="22">
        <v>16.8</v>
      </c>
      <c r="L388" s="23">
        <v>0.833</v>
      </c>
      <c r="M388" s="24">
        <f>IF(MAX(0,ROUNDUP(F388*2-I388,0))=0,"",MAX(0,ROUNDUP(F388*2-I388,0)))</f>
        <v>9</v>
      </c>
    </row>
    <row r="389" spans="1:13" x14ac:dyDescent="0.25">
      <c r="A389" s="16" t="s">
        <v>783</v>
      </c>
      <c r="B389" s="16" t="s">
        <v>784</v>
      </c>
      <c r="C389" s="17" t="s">
        <v>1</v>
      </c>
      <c r="D389" s="17">
        <v>8</v>
      </c>
      <c r="E389" s="18">
        <v>8</v>
      </c>
      <c r="F389" s="17">
        <v>6</v>
      </c>
      <c r="G389" s="19">
        <v>6</v>
      </c>
      <c r="H389" s="17" t="s">
        <v>1</v>
      </c>
      <c r="I389" s="20">
        <v>2</v>
      </c>
      <c r="J389" s="21">
        <v>1.333</v>
      </c>
      <c r="K389" s="22">
        <v>18.7</v>
      </c>
      <c r="L389" s="23">
        <v>0.75</v>
      </c>
      <c r="M389" s="24">
        <f>IF(MAX(0,ROUNDUP(F389*2-I389,0))=0,"",MAX(0,ROUNDUP(F389*2-I389,0)))</f>
        <v>10</v>
      </c>
    </row>
    <row r="390" spans="1:13" x14ac:dyDescent="0.25">
      <c r="A390" s="16" t="s">
        <v>785</v>
      </c>
      <c r="B390" s="16" t="s">
        <v>786</v>
      </c>
      <c r="C390" s="17">
        <v>2</v>
      </c>
      <c r="D390" s="17" t="s">
        <v>1</v>
      </c>
      <c r="E390" s="18">
        <v>2</v>
      </c>
      <c r="F390" s="17">
        <v>1</v>
      </c>
      <c r="G390" s="19">
        <v>1</v>
      </c>
      <c r="H390" s="17" t="s">
        <v>1</v>
      </c>
      <c r="I390" s="20">
        <v>1</v>
      </c>
      <c r="J390" s="21">
        <v>2</v>
      </c>
      <c r="K390" s="22">
        <v>28</v>
      </c>
      <c r="L390" s="23">
        <v>0.5</v>
      </c>
      <c r="M390" s="24">
        <f>IF(MAX(0,ROUNDUP(F390*2-I390,0))=0,"",MAX(0,ROUNDUP(F390*2-I390,0)))</f>
        <v>1</v>
      </c>
    </row>
    <row r="391" spans="1:13" x14ac:dyDescent="0.25">
      <c r="A391" s="16" t="s">
        <v>787</v>
      </c>
      <c r="B391" s="16" t="s">
        <v>788</v>
      </c>
      <c r="C391" s="17">
        <v>1</v>
      </c>
      <c r="D391" s="17">
        <v>1</v>
      </c>
      <c r="E391" s="18">
        <v>2</v>
      </c>
      <c r="F391" s="17">
        <v>1</v>
      </c>
      <c r="G391" s="19">
        <v>1</v>
      </c>
      <c r="H391" s="17" t="s">
        <v>1</v>
      </c>
      <c r="I391" s="20">
        <v>1</v>
      </c>
      <c r="J391" s="21">
        <v>2</v>
      </c>
      <c r="K391" s="22">
        <v>28</v>
      </c>
      <c r="L391" s="23">
        <v>0.5</v>
      </c>
      <c r="M391" s="24">
        <f>IF(MAX(0,ROUNDUP(F391*2-I391,0))=0,"",MAX(0,ROUNDUP(F391*2-I391,0)))</f>
        <v>1</v>
      </c>
    </row>
    <row r="392" spans="1:13" x14ac:dyDescent="0.25">
      <c r="A392" s="16" t="s">
        <v>789</v>
      </c>
      <c r="B392" s="16" t="s">
        <v>790</v>
      </c>
      <c r="C392" s="17">
        <v>1</v>
      </c>
      <c r="D392" s="17">
        <v>1</v>
      </c>
      <c r="E392" s="18">
        <v>2</v>
      </c>
      <c r="F392" s="17">
        <v>1</v>
      </c>
      <c r="G392" s="19">
        <v>1</v>
      </c>
      <c r="H392" s="17" t="s">
        <v>1</v>
      </c>
      <c r="I392" s="20">
        <v>1</v>
      </c>
      <c r="J392" s="21">
        <v>2</v>
      </c>
      <c r="K392" s="22">
        <v>28</v>
      </c>
      <c r="L392" s="23">
        <v>0.5</v>
      </c>
      <c r="M392" s="24">
        <f>IF(MAX(0,ROUNDUP(F392*2-I392,0))=0,"",MAX(0,ROUNDUP(F392*2-I392,0)))</f>
        <v>1</v>
      </c>
    </row>
    <row r="393" spans="1:13" x14ac:dyDescent="0.25">
      <c r="A393" s="16" t="s">
        <v>791</v>
      </c>
      <c r="B393" s="16" t="s">
        <v>792</v>
      </c>
      <c r="C393" s="17">
        <v>1</v>
      </c>
      <c r="D393" s="17">
        <v>1</v>
      </c>
      <c r="E393" s="18">
        <v>2</v>
      </c>
      <c r="F393" s="17">
        <v>1</v>
      </c>
      <c r="G393" s="19">
        <v>1</v>
      </c>
      <c r="H393" s="17" t="s">
        <v>1</v>
      </c>
      <c r="I393" s="20">
        <v>1</v>
      </c>
      <c r="J393" s="21">
        <v>2</v>
      </c>
      <c r="K393" s="22">
        <v>28</v>
      </c>
      <c r="L393" s="23">
        <v>0.5</v>
      </c>
      <c r="M393" s="24">
        <f>IF(MAX(0,ROUNDUP(F393*2-I393,0))=0,"",MAX(0,ROUNDUP(F393*2-I393,0)))</f>
        <v>1</v>
      </c>
    </row>
    <row r="394" spans="1:13" x14ac:dyDescent="0.25">
      <c r="A394" s="16" t="s">
        <v>793</v>
      </c>
      <c r="B394" s="16" t="s">
        <v>794</v>
      </c>
      <c r="C394" s="17">
        <v>1</v>
      </c>
      <c r="D394" s="17">
        <v>2</v>
      </c>
      <c r="E394" s="18">
        <v>3</v>
      </c>
      <c r="F394" s="17">
        <v>2</v>
      </c>
      <c r="G394" s="19">
        <v>2</v>
      </c>
      <c r="H394" s="17" t="s">
        <v>1</v>
      </c>
      <c r="I394" s="20">
        <v>1</v>
      </c>
      <c r="J394" s="21">
        <v>1.5</v>
      </c>
      <c r="K394" s="22">
        <v>21</v>
      </c>
      <c r="L394" s="23">
        <v>0.667</v>
      </c>
      <c r="M394" s="24">
        <f>IF(MAX(0,ROUNDUP(F394*2-I394,0))=0,"",MAX(0,ROUNDUP(F394*2-I394,0)))</f>
        <v>3</v>
      </c>
    </row>
    <row r="395" spans="1:13" x14ac:dyDescent="0.25">
      <c r="A395" s="16" t="s">
        <v>795</v>
      </c>
      <c r="B395" s="16" t="s">
        <v>796</v>
      </c>
      <c r="C395" s="17">
        <v>2</v>
      </c>
      <c r="D395" s="17" t="s">
        <v>1</v>
      </c>
      <c r="E395" s="18">
        <v>2</v>
      </c>
      <c r="F395" s="17">
        <v>2</v>
      </c>
      <c r="G395" s="19" t="s">
        <v>1</v>
      </c>
      <c r="H395" s="17">
        <v>2</v>
      </c>
      <c r="I395" s="20">
        <v>0</v>
      </c>
      <c r="J395" s="21">
        <v>1</v>
      </c>
      <c r="K395" s="22">
        <v>14</v>
      </c>
      <c r="L395" s="23">
        <v>1</v>
      </c>
      <c r="M395" s="24">
        <f>IF(MAX(0,ROUNDUP(F395*2-I395,0))=0,"",MAX(0,ROUNDUP(F395*2-I395,0)))</f>
        <v>4</v>
      </c>
    </row>
    <row r="396" spans="1:13" x14ac:dyDescent="0.25">
      <c r="A396" s="16" t="s">
        <v>797</v>
      </c>
      <c r="B396" s="16" t="s">
        <v>798</v>
      </c>
      <c r="C396" s="17">
        <v>1</v>
      </c>
      <c r="D396" s="17" t="s">
        <v>1</v>
      </c>
      <c r="E396" s="18">
        <v>1</v>
      </c>
      <c r="F396" s="17">
        <v>1</v>
      </c>
      <c r="G396" s="19" t="s">
        <v>1</v>
      </c>
      <c r="H396" s="17">
        <v>1</v>
      </c>
      <c r="I396" s="20">
        <v>0</v>
      </c>
      <c r="J396" s="21">
        <v>1</v>
      </c>
      <c r="K396" s="22">
        <v>14</v>
      </c>
      <c r="L396" s="23">
        <v>1</v>
      </c>
      <c r="M396" s="24">
        <f>IF(MAX(0,ROUNDUP(F396*2-I396,0))=0,"",MAX(0,ROUNDUP(F396*2-I396,0)))</f>
        <v>2</v>
      </c>
    </row>
    <row r="397" spans="1:13" x14ac:dyDescent="0.25">
      <c r="A397" s="16" t="s">
        <v>799</v>
      </c>
      <c r="B397" s="16" t="s">
        <v>800</v>
      </c>
      <c r="C397" s="17">
        <v>1</v>
      </c>
      <c r="D397" s="17" t="s">
        <v>1</v>
      </c>
      <c r="E397" s="18">
        <v>1</v>
      </c>
      <c r="F397" s="17">
        <v>1</v>
      </c>
      <c r="G397" s="19" t="s">
        <v>1</v>
      </c>
      <c r="H397" s="17">
        <v>1</v>
      </c>
      <c r="I397" s="20">
        <v>0</v>
      </c>
      <c r="J397" s="21">
        <v>1</v>
      </c>
      <c r="K397" s="22">
        <v>14</v>
      </c>
      <c r="L397" s="23">
        <v>1</v>
      </c>
      <c r="M397" s="24">
        <f>IF(MAX(0,ROUNDUP(F397*2-I397,0))=0,"",MAX(0,ROUNDUP(F397*2-I397,0)))</f>
        <v>2</v>
      </c>
    </row>
    <row r="398" spans="1:13" x14ac:dyDescent="0.25">
      <c r="A398" s="16" t="s">
        <v>801</v>
      </c>
      <c r="B398" s="16" t="s">
        <v>802</v>
      </c>
      <c r="C398" s="17">
        <v>2</v>
      </c>
      <c r="D398" s="17" t="s">
        <v>1</v>
      </c>
      <c r="E398" s="18">
        <v>2</v>
      </c>
      <c r="F398" s="17">
        <v>2</v>
      </c>
      <c r="G398" s="19" t="s">
        <v>1</v>
      </c>
      <c r="H398" s="17">
        <v>2</v>
      </c>
      <c r="I398" s="20">
        <v>0</v>
      </c>
      <c r="J398" s="21">
        <v>1</v>
      </c>
      <c r="K398" s="22">
        <v>14</v>
      </c>
      <c r="L398" s="23">
        <v>1</v>
      </c>
      <c r="M398" s="24">
        <f>IF(MAX(0,ROUNDUP(F398*2-I398,0))=0,"",MAX(0,ROUNDUP(F398*2-I398,0)))</f>
        <v>4</v>
      </c>
    </row>
    <row r="399" spans="1:13" x14ac:dyDescent="0.25">
      <c r="A399" s="16" t="s">
        <v>803</v>
      </c>
      <c r="B399" s="16" t="s">
        <v>804</v>
      </c>
      <c r="C399" s="17">
        <v>1</v>
      </c>
      <c r="D399" s="17" t="s">
        <v>1</v>
      </c>
      <c r="E399" s="18">
        <v>1</v>
      </c>
      <c r="F399" s="17">
        <v>1</v>
      </c>
      <c r="G399" s="19" t="s">
        <v>1</v>
      </c>
      <c r="H399" s="17">
        <v>1</v>
      </c>
      <c r="I399" s="20">
        <v>0</v>
      </c>
      <c r="J399" s="21">
        <v>1</v>
      </c>
      <c r="K399" s="22">
        <v>14</v>
      </c>
      <c r="L399" s="23">
        <v>1</v>
      </c>
      <c r="M399" s="24">
        <f>IF(MAX(0,ROUNDUP(F399*2-I399,0))=0,"",MAX(0,ROUNDUP(F399*2-I399,0)))</f>
        <v>2</v>
      </c>
    </row>
    <row r="400" spans="1:13" x14ac:dyDescent="0.25">
      <c r="A400" s="16" t="s">
        <v>805</v>
      </c>
      <c r="B400" s="16" t="s">
        <v>806</v>
      </c>
      <c r="C400" s="17">
        <v>1</v>
      </c>
      <c r="D400" s="17" t="s">
        <v>1</v>
      </c>
      <c r="E400" s="18">
        <v>1</v>
      </c>
      <c r="F400" s="17">
        <v>1</v>
      </c>
      <c r="G400" s="19" t="s">
        <v>1</v>
      </c>
      <c r="H400" s="17">
        <v>1</v>
      </c>
      <c r="I400" s="20">
        <v>0</v>
      </c>
      <c r="J400" s="21">
        <v>1</v>
      </c>
      <c r="K400" s="22">
        <v>14</v>
      </c>
      <c r="L400" s="23">
        <v>1</v>
      </c>
      <c r="M400" s="24">
        <f>IF(MAX(0,ROUNDUP(F400*2-I400,0))=0,"",MAX(0,ROUNDUP(F400*2-I400,0)))</f>
        <v>2</v>
      </c>
    </row>
    <row r="401" spans="1:13" x14ac:dyDescent="0.25">
      <c r="A401" s="16" t="s">
        <v>807</v>
      </c>
      <c r="B401" s="16" t="s">
        <v>808</v>
      </c>
      <c r="C401" s="17">
        <v>1</v>
      </c>
      <c r="D401" s="17" t="s">
        <v>1</v>
      </c>
      <c r="E401" s="18">
        <v>1</v>
      </c>
      <c r="F401" s="17">
        <v>1</v>
      </c>
      <c r="G401" s="19" t="s">
        <v>1</v>
      </c>
      <c r="H401" s="17">
        <v>1</v>
      </c>
      <c r="I401" s="20">
        <v>0</v>
      </c>
      <c r="J401" s="21">
        <v>1</v>
      </c>
      <c r="K401" s="22">
        <v>14</v>
      </c>
      <c r="L401" s="23">
        <v>1</v>
      </c>
      <c r="M401" s="24">
        <f>IF(MAX(0,ROUNDUP(F401*2-I401,0))=0,"",MAX(0,ROUNDUP(F401*2-I401,0)))</f>
        <v>2</v>
      </c>
    </row>
    <row r="402" spans="1:13" x14ac:dyDescent="0.25">
      <c r="A402" s="16" t="s">
        <v>809</v>
      </c>
      <c r="B402" s="16" t="s">
        <v>810</v>
      </c>
      <c r="C402" s="17">
        <v>1</v>
      </c>
      <c r="D402" s="17">
        <v>1</v>
      </c>
      <c r="E402" s="18">
        <v>2</v>
      </c>
      <c r="F402" s="17">
        <v>1</v>
      </c>
      <c r="G402" s="19">
        <v>1</v>
      </c>
      <c r="H402" s="17" t="s">
        <v>1</v>
      </c>
      <c r="I402" s="20">
        <v>1</v>
      </c>
      <c r="J402" s="21">
        <v>2</v>
      </c>
      <c r="K402" s="22">
        <v>28</v>
      </c>
      <c r="L402" s="23">
        <v>0.5</v>
      </c>
      <c r="M402" s="24">
        <f>IF(MAX(0,ROUNDUP(F402*2-I402,0))=0,"",MAX(0,ROUNDUP(F402*2-I402,0)))</f>
        <v>1</v>
      </c>
    </row>
    <row r="403" spans="1:13" x14ac:dyDescent="0.25">
      <c r="A403" s="16" t="s">
        <v>811</v>
      </c>
      <c r="B403" s="16" t="s">
        <v>812</v>
      </c>
      <c r="C403" s="17">
        <v>1</v>
      </c>
      <c r="D403" s="17">
        <v>1</v>
      </c>
      <c r="E403" s="18">
        <v>2</v>
      </c>
      <c r="F403" s="17">
        <v>1</v>
      </c>
      <c r="G403" s="19">
        <v>1</v>
      </c>
      <c r="H403" s="17" t="s">
        <v>1</v>
      </c>
      <c r="I403" s="20">
        <v>1</v>
      </c>
      <c r="J403" s="21">
        <v>2</v>
      </c>
      <c r="K403" s="22">
        <v>28</v>
      </c>
      <c r="L403" s="23">
        <v>0.5</v>
      </c>
      <c r="M403" s="24">
        <f>IF(MAX(0,ROUNDUP(F403*2-I403,0))=0,"",MAX(0,ROUNDUP(F403*2-I403,0)))</f>
        <v>1</v>
      </c>
    </row>
    <row r="404" spans="1:13" x14ac:dyDescent="0.25">
      <c r="A404" s="16" t="s">
        <v>813</v>
      </c>
      <c r="B404" s="16" t="s">
        <v>814</v>
      </c>
      <c r="C404" s="17">
        <v>1</v>
      </c>
      <c r="D404" s="17">
        <v>1</v>
      </c>
      <c r="E404" s="18">
        <v>2</v>
      </c>
      <c r="F404" s="17">
        <v>1</v>
      </c>
      <c r="G404" s="19">
        <v>1</v>
      </c>
      <c r="H404" s="17" t="s">
        <v>1</v>
      </c>
      <c r="I404" s="20">
        <v>1</v>
      </c>
      <c r="J404" s="21">
        <v>2</v>
      </c>
      <c r="K404" s="22">
        <v>28</v>
      </c>
      <c r="L404" s="23">
        <v>0.5</v>
      </c>
      <c r="M404" s="24">
        <f>IF(MAX(0,ROUNDUP(F404*2-I404,0))=0,"",MAX(0,ROUNDUP(F404*2-I404,0)))</f>
        <v>1</v>
      </c>
    </row>
    <row r="405" spans="1:13" x14ac:dyDescent="0.25">
      <c r="A405" s="16" t="s">
        <v>815</v>
      </c>
      <c r="B405" s="16" t="s">
        <v>816</v>
      </c>
      <c r="C405" s="17">
        <v>2</v>
      </c>
      <c r="D405" s="17">
        <v>5</v>
      </c>
      <c r="E405" s="18">
        <v>7</v>
      </c>
      <c r="F405" s="17">
        <v>5</v>
      </c>
      <c r="G405" s="19">
        <v>5</v>
      </c>
      <c r="H405" s="17" t="s">
        <v>1</v>
      </c>
      <c r="I405" s="20">
        <v>2</v>
      </c>
      <c r="J405" s="21">
        <v>1.4</v>
      </c>
      <c r="K405" s="22">
        <v>19.6</v>
      </c>
      <c r="L405" s="23">
        <v>0.714</v>
      </c>
      <c r="M405" s="24">
        <f>IF(MAX(0,ROUNDUP(F405*2-I405,0))=0,"",MAX(0,ROUNDUP(F405*2-I405,0)))</f>
        <v>8</v>
      </c>
    </row>
    <row r="406" spans="1:13" x14ac:dyDescent="0.25">
      <c r="A406" s="16" t="s">
        <v>817</v>
      </c>
      <c r="B406" s="16" t="s">
        <v>818</v>
      </c>
      <c r="C406" s="17">
        <v>1</v>
      </c>
      <c r="D406" s="17">
        <v>1</v>
      </c>
      <c r="E406" s="18">
        <v>2</v>
      </c>
      <c r="F406" s="17">
        <v>1</v>
      </c>
      <c r="G406" s="19">
        <v>1</v>
      </c>
      <c r="H406" s="17" t="s">
        <v>1</v>
      </c>
      <c r="I406" s="20">
        <v>1</v>
      </c>
      <c r="J406" s="21">
        <v>2</v>
      </c>
      <c r="K406" s="22">
        <v>28</v>
      </c>
      <c r="L406" s="23">
        <v>0.5</v>
      </c>
      <c r="M406" s="24">
        <f>IF(MAX(0,ROUNDUP(F406*2-I406,0))=0,"",MAX(0,ROUNDUP(F406*2-I406,0)))</f>
        <v>1</v>
      </c>
    </row>
    <row r="407" spans="1:13" x14ac:dyDescent="0.25">
      <c r="A407" s="16" t="s">
        <v>819</v>
      </c>
      <c r="B407" s="16" t="s">
        <v>820</v>
      </c>
      <c r="C407" s="17">
        <v>1</v>
      </c>
      <c r="D407" s="17">
        <v>2</v>
      </c>
      <c r="E407" s="18">
        <v>3</v>
      </c>
      <c r="F407" s="17">
        <v>2</v>
      </c>
      <c r="G407" s="19">
        <v>2</v>
      </c>
      <c r="H407" s="17" t="s">
        <v>1</v>
      </c>
      <c r="I407" s="20">
        <v>1</v>
      </c>
      <c r="J407" s="21">
        <v>1.5</v>
      </c>
      <c r="K407" s="22">
        <v>21</v>
      </c>
      <c r="L407" s="23">
        <v>0.667</v>
      </c>
      <c r="M407" s="24">
        <f>IF(MAX(0,ROUNDUP(F407*2-I407,0))=0,"",MAX(0,ROUNDUP(F407*2-I407,0)))</f>
        <v>3</v>
      </c>
    </row>
    <row r="408" spans="1:13" x14ac:dyDescent="0.25">
      <c r="A408" s="16" t="s">
        <v>821</v>
      </c>
      <c r="B408" s="16" t="s">
        <v>822</v>
      </c>
      <c r="C408" s="17" t="s">
        <v>1</v>
      </c>
      <c r="D408" s="17">
        <v>2</v>
      </c>
      <c r="E408" s="18">
        <v>2</v>
      </c>
      <c r="F408" s="17">
        <v>1</v>
      </c>
      <c r="G408" s="19">
        <v>1</v>
      </c>
      <c r="H408" s="17" t="s">
        <v>1</v>
      </c>
      <c r="I408" s="20">
        <v>1</v>
      </c>
      <c r="J408" s="21">
        <v>2</v>
      </c>
      <c r="K408" s="22">
        <v>28</v>
      </c>
      <c r="L408" s="23">
        <v>0.5</v>
      </c>
      <c r="M408" s="24">
        <f>IF(MAX(0,ROUNDUP(F408*2-I408,0))=0,"",MAX(0,ROUNDUP(F408*2-I408,0)))</f>
        <v>1</v>
      </c>
    </row>
    <row r="409" spans="1:13" x14ac:dyDescent="0.25">
      <c r="A409" s="16" t="s">
        <v>823</v>
      </c>
      <c r="B409" s="16" t="s">
        <v>824</v>
      </c>
      <c r="C409" s="17">
        <v>1</v>
      </c>
      <c r="D409" s="17" t="s">
        <v>1</v>
      </c>
      <c r="E409" s="18">
        <v>1</v>
      </c>
      <c r="F409" s="17">
        <v>1</v>
      </c>
      <c r="G409" s="19">
        <v>1</v>
      </c>
      <c r="H409" s="17" t="s">
        <v>1</v>
      </c>
      <c r="I409" s="20">
        <v>0</v>
      </c>
      <c r="J409" s="21">
        <v>1</v>
      </c>
      <c r="K409" s="22">
        <v>14</v>
      </c>
      <c r="L409" s="23">
        <v>1</v>
      </c>
      <c r="M409" s="24">
        <f>IF(MAX(0,ROUNDUP(F409*2-I409,0))=0,"",MAX(0,ROUNDUP(F409*2-I409,0)))</f>
        <v>2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Замовлення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AI_Agent_Artik</dc:creator>
  <dc:title/>
  <dc:subject/>
  <dc:description/>
  <cp:keywords/>
  <cp:category/>
  <cp:lastModifiedBy>Unknown</cp:lastModifiedBy>
  <dcterms:created xsi:type="dcterms:W3CDTF">2026-09-03T21:23:28Z</dcterms:created>
  <dcterms:modified xsi:type="dcterms:W3CDTF">2026-09-03T21:23:28Z</dcterms:modified>
</cp:coreProperties>
</file>