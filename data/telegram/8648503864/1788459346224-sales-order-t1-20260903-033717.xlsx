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мовлення" state="visible" r:id="rId4"/>
  </sheets>
  <calcPr calcId="171027" fullCalcOnLoad="1"/>
</workbook>
</file>

<file path=xl/sharedStrings.xml><?xml version="1.0" encoding="utf-8"?>
<sst xmlns="http://schemas.openxmlformats.org/spreadsheetml/2006/main" count="843" uniqueCount="385">
  <si>
    <t>Місце зберігання</t>
  </si>
  <si>
    <t/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</si>
  <si>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</si>
  <si>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</si>
  <si>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</si>
  <si>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</si>
  <si>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</si>
  <si>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</si>
  <si>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Заказ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</si>
  <si>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</si>
  <si>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</si>
  <si>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</si>
  <si>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</si>
  <si>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</si>
  <si>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</si>
  <si>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SO1455</t>
  </si>
  <si>
    <t>Анальна змазка System JO ANAL H2O — ORIGINAL (60 мл) на водній основі, рослинний гліцерин</t>
  </si>
  <si>
    <t>SO1465</t>
  </si>
  <si>
    <t>Змазка на водній основі System JO GELATO Salted Caramel (30 мл) без цукру, парабенів та пропіленглік</t>
  </si>
  <si>
    <t>SO1469</t>
  </si>
  <si>
    <t>Змазка на водній основі System JO H2O — Strawberry Kiss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</si>
  <si>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</si>
  <si>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</si>
  <si>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SO1492</t>
  </si>
  <si>
    <t>Змазка на водній основі System JO AGAPE — ORIGINAL (30 мл) без гліцерину, гліколю та парабенів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</si>
  <si>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</si>
  <si>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</si>
  <si>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</si>
  <si>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</si>
  <si>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</si>
  <si>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</si>
  <si>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SO1692</t>
  </si>
  <si>
    <t>Змазка на водній основі System JO H2O ORIGINAL (480 мл) оліїста і гладенька, рослинний гліцерин</t>
  </si>
  <si>
    <t>SO1729</t>
  </si>
  <si>
    <t>Ерекційне кільце ласо Mr.Dorcel, регульована тугість</t>
  </si>
  <si>
    <t>SO1832</t>
  </si>
  <si>
    <t>Пролонгувальний спрей System JO Prolonger Spray with Benzocaine (60 мл) не містить мінеральних масел</t>
  </si>
  <si>
    <t>SO1897</t>
  </si>
  <si>
    <t>Лубрикант на водній основі Lubrix (50 мл) без парабенів</t>
  </si>
  <si>
    <t>SO1899</t>
  </si>
  <si>
    <t>Лубрикант на водній основі Lubrix (200 мл) без парабенів</t>
  </si>
  <si>
    <t>SO2515</t>
  </si>
  <si>
    <t>Масажна свічка Shunga Massage Candle – Exotic Green Tea (170 мл)  з афродизіаками</t>
  </si>
  <si>
    <t>SO2519</t>
  </si>
  <si>
    <t>Масажна свічка Shunga Mini Massage Candle – Sparkling Strawberry Wine (30 мл) з афродизіаками</t>
  </si>
  <si>
    <t>SO2528</t>
  </si>
  <si>
    <t>Змазка на водній основі Shunga Toko ORGANICA (165 мл), органічна основа без парабенів</t>
  </si>
  <si>
    <t>SO2533</t>
  </si>
  <si>
    <t>Лубрикант на водной основе Shunga Toko AROMA - Exotic Fruits (165 мл), не содержит сахара</t>
  </si>
  <si>
    <t>SO2551</t>
  </si>
  <si>
    <t>Гель для NURU масажу Shunga Oriental Body-to-Body – Sparkling Strawberry Wine плюс простирадло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</si>
  <si>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</si>
  <si>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</si>
  <si>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</si>
  <si>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</si>
  <si>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SO2740</t>
  </si>
  <si>
    <t>Набір анальних бус Satisfyer Beads Black, силікон, макс. діаметр 3,3см і 3,5см</t>
  </si>
  <si>
    <t>SO2800</t>
  </si>
  <si>
    <t>Спрей для мінету Doc Johnson GoodHead DeepThroat Spray - Wild Cherry 59 мл для глибокого мінету</t>
  </si>
  <si>
    <t>SO2934</t>
  </si>
  <si>
    <t>Гель для стимуляції члена Intt Inflate XXL (15 мл) зі смаком кориці, підсилює збудження</t>
  </si>
  <si>
    <t>SO2939</t>
  </si>
  <si>
    <t>Преміум масажна піна Intt Crunchy Foam - Vanilla (150 мл) екстразволожувальна</t>
  </si>
  <si>
    <t>SO3106</t>
  </si>
  <si>
    <t>Потужний мінівібратор Satisfyer Sparkling Darling Gold зі знімним ковпачком, 15 режимів роботи</t>
  </si>
  <si>
    <t>SO3114</t>
  </si>
  <si>
    <t>Смарт-тренажер Кегеля Magic Motion Kegel Rejuve, бюджетний варіант, для тренувань і задоволення</t>
  </si>
  <si>
    <t>SO3193</t>
  </si>
  <si>
    <t>Спрей для мінету Sensuva Deeply Love You Chocolate Mint (29 мл), для глибокого мінету</t>
  </si>
  <si>
    <t>SO3196</t>
  </si>
  <si>
    <t>Спрей для мінету Sensuva Deeply Love You Chocolate Coconut (29 мл), для глубокого мінету</t>
  </si>
  <si>
    <t>SO3223</t>
  </si>
  <si>
    <t>Лубрикант на водній основі Sensuva Natural Water-Based (125 мл),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</si>
  <si>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</si>
  <si>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</si>
  <si>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</si>
  <si>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</si>
  <si>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</si>
  <si>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</si>
  <si>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SO3235</t>
  </si>
  <si>
    <t>Густа змазка Sensuva Ultra-Thick Water-Based (250 мл) на водній основі, без гліцерину та парабенів</t>
  </si>
  <si>
    <t>SO3533</t>
  </si>
  <si>
    <t>Змазка на водній основі Sensuva Natural WaterBased Orange Creamsicle (57мл) без гліцерину та парабен</t>
  </si>
  <si>
    <t>SO3549</t>
  </si>
  <si>
    <t>Пробник стимулирующей смазки Sensuva - Ultra-Stimulating On Insane (6 мл)</t>
  </si>
  <si>
    <t>SO3576</t>
  </si>
  <si>
    <t>Набір менструальних чаш Satisfyer Feel Confident (dark blue), 15мл та 20мл, мішечок для зберігання</t>
  </si>
  <si>
    <t>SO3755</t>
  </si>
  <si>
    <t>БДСМ-cвічка низькотемпературна Fetish Tentation SM Low Temperature Candle Red</t>
  </si>
  <si>
    <t>SO3902</t>
  </si>
  <si>
    <t>Смарт вібратор-кролик Satisfyer Mono Flex Mauve, 2 мотори, керування через інтернет</t>
  </si>
  <si>
    <t>SO3935</t>
  </si>
  <si>
    <t>Масажна олія Shunga Romance – Sparkling Strawberry Wine (240 мл) натуральна зволожувальна</t>
  </si>
  <si>
    <t>SO4463</t>
  </si>
  <si>
    <t>Стимулирующий бальзам для губ унисекс, вишня Sensuva - X on the Lips Cherry с феромонами, вишня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</si>
  <si>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</si>
  <si>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</si>
  <si>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</si>
  <si>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</si>
  <si>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SO4532</t>
  </si>
  <si>
    <t>Фалоімітатор з конфетті ADDICTION - PARTY MARTY 7.5″ - FROST &amp; CONFETTI, 19 см, силікон</t>
  </si>
  <si>
    <t>SO4853</t>
  </si>
  <si>
    <t>Подвійне ерекційне кільце з вібрацією Svakom Tammy Violet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</si>
  <si>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</si>
  <si>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</si>
  <si>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</si>
  <si>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</si>
  <si>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SO4946</t>
  </si>
  <si>
    <t>Змазка на водній основі Sensuva Natural Water-Based Exotic Coconut (57мл) без гліцерину та парабенів</t>
  </si>
  <si>
    <t>SO5096</t>
  </si>
  <si>
    <t>Кружевные трусы для страпона с подвязками для чулок Strap-On-Me DIVA HARNESS - S</t>
  </si>
  <si>
    <t>SO5140</t>
  </si>
  <si>
    <t>Сексуальні трусики з ланцюжком Bad Bitch чорні, розмір XS-M</t>
  </si>
  <si>
    <t>SO5534</t>
  </si>
  <si>
    <t>Металева анальна пробка із прикрасою у вигляді кристалу Dorcel - Diamond Plug Rose Gold S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</si>
  <si>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</si>
  <si>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</si>
  <si>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</si>
  <si>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</si>
  <si>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SO5750</t>
  </si>
  <si>
    <t>Пробник Sensuva - Natural Water-Based Cotton Candy (6 мл)</t>
  </si>
  <si>
    <t>SO5901</t>
  </si>
  <si>
    <t>Гель-змазка для мастурбації Bijoux Indiscrets Slow Sex Finger play gel</t>
  </si>
  <si>
    <t>SO5909</t>
  </si>
  <si>
    <t>Смужки для орального сексу Bijoux Indiscrets Slow Sex Oral sex strips</t>
  </si>
  <si>
    <t>SO5995</t>
  </si>
  <si>
    <t>Флогер Alive Fantasy Black</t>
  </si>
  <si>
    <t>SO5998</t>
  </si>
  <si>
    <t>Металева анальна пробка з кристалом Alive Mini Metal Butt Plug Blue S</t>
  </si>
  <si>
    <t>SO6000</t>
  </si>
  <si>
    <t>Металева анальна пробка з кристалом Alive Mini Metal Butt Plug Black M</t>
  </si>
  <si>
    <t>SO6009</t>
  </si>
  <si>
    <t>Металева анальна пробка з кристалом Alive Mini Metal Butt Plug White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</si>
  <si>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</si>
  <si>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</si>
  <si>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</si>
  <si>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</si>
  <si>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SO6034</t>
  </si>
  <si>
    <t>Потужний мінівібратор Svakom Tulip Black</t>
  </si>
  <si>
    <t>SO6159</t>
  </si>
  <si>
    <t>Лубрикант на водній основі System JO Cocktails - Sex on the Beach без цукру, рослинний гліцерин (60</t>
  </si>
  <si>
    <t>SO6631</t>
  </si>
  <si>
    <t>Натуральна харчова добавка для підвищення лібідо Bijoux Indiscrets Sex au Naturel — Orgasm Glow</t>
  </si>
  <si>
    <t>SO6788</t>
  </si>
  <si>
    <t>Сексуальні наклейки на груди Art of Sex – Ruth. Чорний</t>
  </si>
  <si>
    <t>SO6872</t>
  </si>
  <si>
    <t>Боді-сітка зі знімними стрепами JSY "Б'янка" One Size, Black: боді, стрепи, чокер</t>
  </si>
  <si>
    <t>SO6921</t>
  </si>
  <si>
    <t>Смарт-вібратор для пар We-Vibe Chorus Cosmic Pink, сенсорне керування вібраціями стисненням пульта</t>
  </si>
  <si>
    <t>SO6966</t>
  </si>
  <si>
    <t>Лоскітка зі шлепалкою Піка Art of Sex - Puff Peak, колір Темно-рожевий</t>
  </si>
  <si>
    <t>SO7013</t>
  </si>
  <si>
    <t>Лоскітка зі страусиним пером  Art of Sex - Feather Tickler, колір Темно-рожевий</t>
  </si>
  <si>
    <t>SO7037</t>
  </si>
  <si>
    <t>Мастурбатор Tenga Bobble Magic Marbles</t>
  </si>
  <si>
    <t>SO7429</t>
  </si>
  <si>
    <t>Металева анальна пробка Wooomy Tralalo Rose Gold Metal Plug Magenta S, діаметр 2,8 см, довжина 7 см</t>
  </si>
  <si>
    <t>SO7482</t>
  </si>
  <si>
    <t>Пестиси на груди Art of Sex - Fuck me, Чорний</t>
  </si>
  <si>
    <t>SO7485</t>
  </si>
  <si>
    <t>Смарт-вібратор у трусики Lovense Flexer, манливий рух + вібрація, стимуляція клітора та точки G</t>
  </si>
  <si>
    <t>SO7496</t>
  </si>
  <si>
    <t>Еротична гра «Рольові ігри» (UA)</t>
  </si>
  <si>
    <t>SO7791</t>
  </si>
  <si>
    <t>Набір менструальних чаш Satisfyer Feel Confident (Transparent), 15мл та 20мл, мішечок для зберігання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</si>
  <si>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</si>
  <si>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</si>
  <si>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</si>
  <si>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</si>
  <si>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SO7841</t>
  </si>
  <si>
    <t>Збуджувальна змазка на гібридній основі) Sensuva Ultra-Stimulating On Insane Cotton Candy (57 мл)</t>
  </si>
  <si>
    <t>SO7903</t>
  </si>
  <si>
    <t>Еротичний бодістокінг Leg Avenue Jacquard net Black, імітація панчіх, відкритий доступ, one size</t>
  </si>
  <si>
    <t>SO8279</t>
  </si>
  <si>
    <t>Трусики для страпону Feral Feelings Strap-on Harness Black</t>
  </si>
  <si>
    <t>SO8385</t>
  </si>
  <si>
    <t>Сорочка бебі-дол JSY «Пристрасна Ліліт» Plus Size, Black, халтер, дрібна сітка, мереживо, стрінги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</si>
  <si>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</si>
  <si>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</si>
  <si>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</si>
  <si>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</si>
  <si>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SO8770</t>
  </si>
  <si>
    <t>Вібратор для точки G з інтелектуальним режимом Svakom Amy 2 Pastel Lilac</t>
  </si>
  <si>
    <t>SO8977</t>
  </si>
  <si>
    <t>Інтерактивний вібратор-пульсатор Svakom Ava Neo</t>
  </si>
  <si>
    <t>SO9269</t>
  </si>
  <si>
    <t>Боді JSY 7939 One Size</t>
  </si>
  <si>
    <t>SO9342</t>
  </si>
  <si>
    <t>Bijoux Indiscrets SLOW SEX Arousal Sex Oil CBD</t>
  </si>
  <si>
    <t>SO9482</t>
  </si>
  <si>
    <t>Маска на очі Liebe Seele Black Organosilicon Blindfold</t>
  </si>
  <si>
    <t>SO9485</t>
  </si>
  <si>
    <t>Наручники Liebe Seele Black Organosilicon Wrist Cuff</t>
  </si>
  <si>
    <t>SO9509</t>
  </si>
  <si>
    <t>Набір Liebe Seele Black Lace and Neoprene 11pcs Bondage Kit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</si>
  <si>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</si>
  <si>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</si>
  <si>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</si>
  <si>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</si>
  <si>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SO9612</t>
  </si>
  <si>
    <t>Змазка на водній основі pjur Woman Nude 250 мл без консервантів, парабенів, гліцерину</t>
  </si>
  <si>
    <t>SO9812</t>
  </si>
  <si>
    <t>Рідкий вібратор Intt Vibration Cotton Candy (15 мл), густий гель, дуже смачний, діє до 30 хвилин</t>
  </si>
  <si>
    <t>SO9828</t>
  </si>
  <si>
    <t>Зігрівальний масажний гель Sensuva Sizzle Lips Pina Colada (59 мл), без цукру, їстівний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</si>
  <si>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</si>
  <si>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</si>
  <si>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</si>
  <si>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</si>
  <si>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SO9872</t>
  </si>
  <si>
    <t>Лубрикант на силіконовій основі Wet Pure Silicone Platinum (236 мл)</t>
  </si>
  <si>
    <t>SO9980</t>
  </si>
  <si>
    <t>Чоловічий чокер із натуральної шкіри Art of Sex - Zane Collar</t>
  </si>
  <si>
    <t>SX0156</t>
  </si>
  <si>
    <t>Панчохи Noir Handmade F243 Tulle stockings with patterned flock embroidery - M</t>
  </si>
  <si>
    <t>SX0196</t>
  </si>
  <si>
    <t>Боді з мокрим ефектом Noir Handmade F294 Powerwetlook bodysuit with front zipper, M</t>
  </si>
  <si>
    <t>SX0428</t>
  </si>
  <si>
    <t>Чоловічий еротичний костюм поліцейського JSY «Брутальний Алекс» One Size, 4 предмети</t>
  </si>
  <si>
    <t>SX0560</t>
  </si>
  <si>
    <t>Вібратор Satisfyer Spinning Vibe 1 Beige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</si>
  <si>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</si>
  <si>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</si>
  <si>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</si>
  <si>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</si>
  <si>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SX0685</t>
  </si>
  <si>
    <t>Тонкий вібратор точки G Svakom Cici 2 Lilac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</si>
  <si>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</si>
  <si>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</si>
  <si>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</si>
  <si>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</si>
  <si>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SX0726</t>
  </si>
  <si>
    <t>Вібратор-кролик із перлинною стимуляцією точки G Svakom Trysta Neo Violet</t>
  </si>
  <si>
    <t>SX0745</t>
  </si>
  <si>
    <t>Презерватив ONE Classic Select - Contest Collection 1 шт</t>
  </si>
  <si>
    <t>SX0758</t>
  </si>
  <si>
    <t>Презерватив ONE Street Art Collection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</si>
  <si>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</si>
  <si>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</si>
  <si>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</si>
  <si>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</si>
  <si>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</si>
  <si>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</si>
  <si>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SX0780</t>
  </si>
  <si>
    <t>Презервативи ONE Vanish Hyperthin 3 шт, картонна коробка</t>
  </si>
  <si>
    <t>SX0783</t>
  </si>
  <si>
    <t>Презервативи ONE Flex Graphene Condom 3 шт, картонна коробка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</si>
  <si>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</si>
  <si>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</si>
  <si>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</si>
  <si>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</si>
  <si>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</si>
  <si>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</si>
  <si>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</si>
  <si>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</si>
  <si>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</si>
  <si>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</si>
  <si>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</si>
  <si>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</si>
  <si>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SX1102</t>
  </si>
  <si>
    <t>Лубрикант для фістингу Power Fist 250 мл</t>
  </si>
  <si>
    <t>SX1251</t>
  </si>
  <si>
    <t>Презервативи MyONE Snug 10 шт, картонна коробка</t>
  </si>
  <si>
    <t>SX1270</t>
  </si>
  <si>
    <t>Пролонгатор Intt Dura Max Power (12 мл)</t>
  </si>
  <si>
    <t>SX1278</t>
  </si>
  <si>
    <t>Інтерактивний вібромасажер Svakom Mini Emma Neo</t>
  </si>
  <si>
    <t>SX1301</t>
  </si>
  <si>
    <t>Фалоімітатор, що світиться в темряві, ADDICTION Rave 8″, Glow in the Dark Dildo Purple Confetti, 20,</t>
  </si>
  <si>
    <t>SX1337</t>
  </si>
  <si>
    <t>Лубрикант Tenga Lotion Light (170 мл) на водній основі, рідкий</t>
  </si>
  <si>
    <t>SX1489</t>
  </si>
  <si>
    <t>Рідкий вібратор Orgie Dual Vibe! Strawberry Gin &amp; Tonic Kissable Liquid Vibrator, 15 мл</t>
  </si>
  <si>
    <t>SX1492</t>
  </si>
  <si>
    <t>Масажна пінка Orgie – Acqua Croccante Sakura (150 мл), ефект бульбашок, що лопаються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</si>
  <si>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</si>
  <si>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</si>
  <si>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</si>
  <si>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</si>
  <si>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SX1527</t>
  </si>
  <si>
    <t>Гель для NURU-масажу Orgie – Noriplay Energizer (500 мл), екстракт гінкго білоба, захисне простирадл</t>
  </si>
  <si>
    <t>SX1536</t>
  </si>
  <si>
    <t>Набір для перлинного масажу Orgie – Pearls Lust Massage (30 мл), силіконовий гель, намисто</t>
  </si>
  <si>
    <t>SX1669</t>
  </si>
  <si>
    <t>Наручники Liebe Seele Boudoir Amor Wrist Cuffs Black</t>
  </si>
  <si>
    <t>SX1793</t>
  </si>
  <si>
    <t>Бодістокінг JSY 8171 One Size</t>
  </si>
  <si>
    <t>SX2163</t>
  </si>
  <si>
    <t>Вакуумний стимулятор Satisfyer Secret Kiss</t>
  </si>
  <si>
    <t>SX2187</t>
  </si>
  <si>
    <t>Лубрикант на водній основі Bijoux Indiscrets - Sex au Naturel 75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</si>
  <si>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</si>
  <si>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</si>
  <si>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</si>
  <si>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</si>
  <si>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</si>
  <si>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</si>
  <si>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SX2392</t>
  </si>
  <si>
    <t>Набір презервативів SKYN Selection 35 шт</t>
  </si>
  <si>
    <t>SX2393</t>
  </si>
  <si>
    <t>Презервативи SKYN Elite 24 шт</t>
  </si>
  <si>
    <t>SX2395</t>
  </si>
  <si>
    <t>Презервативи SKYN Large 36 шт</t>
  </si>
  <si>
    <t>SX2397</t>
  </si>
  <si>
    <t>Презервативи SKYN Supreme Feel 3 шт</t>
  </si>
  <si>
    <t>SX2398</t>
  </si>
  <si>
    <t>Презервативи SKYN Supreme Feel 10 шт</t>
  </si>
  <si>
    <t>SX2407</t>
  </si>
  <si>
    <t>Презервативи SKYN Elite 36 шт</t>
  </si>
  <si>
    <t>SX2408</t>
  </si>
  <si>
    <t>Презервативи SKYN Original 20 шт</t>
  </si>
  <si>
    <t>SX2446</t>
  </si>
  <si>
    <t>Інтерактивний масажер простати та вібратор точки G Svakom Vick Neo 2</t>
  </si>
  <si>
    <t>SX2448</t>
  </si>
  <si>
    <t>Кліторальний вібратор Svakom Echo 2 Sky Blue</t>
  </si>
  <si>
    <t>SX2661</t>
  </si>
  <si>
    <t>Рідкий вібратор Intt Vibration Blackberry (15 мл) зі смаком ожини</t>
  </si>
  <si>
    <t>SX2769</t>
  </si>
  <si>
    <t>Сукня Leg Avenue Lurex Rhinestone Keyhole Halter Dress One Size Black/Silver</t>
  </si>
  <si>
    <t>SX2773</t>
  </si>
  <si>
    <t>Панчохи-сітка зі швом ззаду Leg Avenue Bow back seam thigh highs One size Pink, атласний бант</t>
  </si>
  <si>
    <t>SX2815</t>
  </si>
  <si>
    <t>Кляп Liebe Seele Samurai Bite Gag</t>
  </si>
  <si>
    <t>SX2851</t>
  </si>
  <si>
    <t>Дилдо, що світиться Strap-On-Me Glow-LED Dildo Purple - M</t>
  </si>
  <si>
    <t>SX2876</t>
  </si>
  <si>
    <t>Лубрикант на водній основі Sensuva - Arctic Chill Cooling (57 мл), без гліцерину та парабенів</t>
  </si>
  <si>
    <t>SX3134</t>
  </si>
  <si>
    <t>Вібролубрикант Orgie Lube Tube Vibe! Sex On The Beach 100 мл</t>
  </si>
  <si>
    <t>SX3136</t>
  </si>
  <si>
    <t>Зволожуючий крем Orgie - Hydra Intima 50 мл</t>
  </si>
  <si>
    <t>SX3157</t>
  </si>
  <si>
    <t>Фалоімітатор ADDICTION Pearl 8.5" Dildo with Balls, віброкуля в подарунок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</si>
  <si>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</si>
  <si>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</si>
  <si>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</si>
  <si>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</si>
  <si>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</si>
  <si>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</si>
  <si>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</si>
  <si>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</si>
  <si>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SX3701</t>
  </si>
  <si>
    <t>Ерекційне віброкільце з подвійною стимуляцією клітора Fun Factory NŌS PRO Magenta, 2 мотори</t>
  </si>
  <si>
    <t>SX3734</t>
  </si>
  <si>
    <t>Костюм кішечки JSY 2127</t>
  </si>
  <si>
    <t>SX3738</t>
  </si>
  <si>
    <t>Комплект JSY 2138 One Size</t>
  </si>
  <si>
    <t>SX3767</t>
  </si>
  <si>
    <t>Затискачі для сосків з регулюванням Art of Sex - Flirty Bow, колір рожевий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</si>
  <si>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</si>
  <si>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</si>
  <si>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</si>
  <si>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</si>
  <si>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</si>
  <si>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</si>
  <si>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SX4249</t>
  </si>
  <si>
    <t>Пульсатор Fun Factory Bi Stronic Immerse</t>
  </si>
  <si>
    <t>AD30400</t>
  </si>
  <si>
    <t>Наручники металеві Adrien Lastic Handcuffs Metallic (поліцейські)</t>
  </si>
  <si>
    <t>PJ10370</t>
  </si>
  <si>
    <t>Лубрикант на водній основі pjur Woman Aqua 100 мл для інтенсивного ковзання, зволоження та догляд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</si>
  <si>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</si>
  <si>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</si>
  <si>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</si>
  <si>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</si>
  <si>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PJ10530</t>
  </si>
  <si>
    <t>Анальна змазка pjur backdoor anal Relaxing jojoba silicone 100 мл на силіконовій основі з жожоба</t>
  </si>
  <si>
    <t>PJ10780</t>
  </si>
  <si>
    <t>Силіконова змазка pjur MED Premium glide 100 мл для чутливої шкіри, пройшла клінічний тест</t>
  </si>
  <si>
    <t>PJ10850</t>
  </si>
  <si>
    <t>Лубрикант на водній основі pjur MED Natural glide 100 мл спеціально для сухої та чутливої ​​шкіри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</si>
  <si>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</si>
  <si>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</si>
  <si>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</si>
  <si>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</si>
  <si>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</si>
  <si>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</si>
  <si>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</si>
  <si>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</si>
  <si>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</si>
  <si>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</si>
  <si>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PJ13330</t>
  </si>
  <si>
    <t>Лубрикант на водній основі pjur Woman Vegan 30 мл, чистий веганський склад, без консервантів</t>
  </si>
  <si>
    <t>PJ13640</t>
  </si>
  <si>
    <t>Анальна змазка pjur backdoor Regenerating 100мл на водній основі, з пантенолом та екстрактом ромашки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</si>
</sst>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5E0B4"/>
      </patternFill>
    </fill>
    <fill>
      <patternFill patternType="solid">
        <fgColor rgb="FFD9D9D9"/>
      </patternFill>
    </fill>
    <fill>
      <patternFill patternType="solid">
        <fgColor rgb="FFFBE5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9" fontId="0" fillId="0" borderId="0" xfId="0" applyNumberFormat="1"/>
    <xf numFmtId="3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164" fontId="1" fillId="4" borderId="1" xfId="0" applyNumberFormat="1" applyFont="1" applyFill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65" fontId="1" fillId="0" borderId="1" xfId="0" applyNumberFormat="1" applyFont="1" applyBorder="1" applyAlignment="1">
      <alignment vertical="top"/>
    </xf>
    <xf numFmtId="9" fontId="1" fillId="0" borderId="1" xfId="0" applyNumberFormat="1" applyFont="1" applyBorder="1" applyAlignment="1">
      <alignment vertical="top"/>
    </xf>
    <xf numFmtId="3" fontId="1" fillId="5" borderId="1" xfId="0" applyNumberFormat="1" applyFont="1" applyFill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2" borderId="1" xfId="0" applyNumberFormat="1" applyFill="1" applyBorder="1" applyAlignment="1">
      <alignment vertical="top"/>
    </xf>
    <xf numFmtId="164" fontId="0" fillId="3" borderId="1" xfId="0" applyNumberFormat="1" applyFill="1" applyBorder="1" applyAlignment="1">
      <alignment vertical="top"/>
    </xf>
    <xf numFmtId="164" fontId="0" fillId="4" borderId="1" xfId="0" applyNumberFormat="1" applyFill="1" applyBorder="1" applyAlignment="1">
      <alignment vertical="top"/>
    </xf>
    <xf numFmtId="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3" fontId="0" fillId="5" borderId="1" xfId="0" applyNumberForma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72" customWidth="1"/>
    <col min="3" max="6" width="11" style="1" customWidth="1"/>
    <col min="7" max="8" width="14" style="1" customWidth="1"/>
    <col min="9" max="9" width="11" style="1" customWidth="1"/>
    <col min="10" max="10" width="10" style="2" customWidth="1"/>
    <col min="11" max="11" width="10" style="3" customWidth="1"/>
    <col min="12" max="12" width="10" style="4" customWidth="1"/>
    <col min="13" max="13" width="10" style="5" customWidth="1"/>
  </cols>
  <sheetData>
    <row r="1" spans="1:13" s="6" customFormat="1" x14ac:dyDescent="0.25">
      <c r="A1" s="7" t="s">
        <v>0</v>
      </c>
      <c r="B1" s="7" t="s">
        <v>1</v>
      </c>
      <c r="C1" s="8" t="s">
        <v>2</v>
      </c>
      <c r="D1" s="8" t="s">
        <v>3</v>
      </c>
      <c r="E1" s="9" t="s">
        <v>1</v>
      </c>
      <c r="F1" s="8" t="s">
        <v>4</v>
      </c>
      <c r="G1" s="10" t="s">
        <v>5</v>
      </c>
      <c r="H1" s="8" t="s">
        <v>6</v>
      </c>
      <c r="I1" s="11" t="s">
        <v>7</v>
      </c>
      <c r="J1" s="12" t="s">
        <v>1</v>
      </c>
      <c r="K1" s="13" t="s">
        <v>1</v>
      </c>
      <c r="L1" s="14" t="s">
        <v>1</v>
      </c>
      <c r="M1" s="15" t="s">
        <v>8</v>
      </c>
    </row>
    <row r="2" spans="1:13" x14ac:dyDescent="0.25">
      <c r="A2" s="16" t="s">
        <v>9</v>
      </c>
      <c r="B2" s="16" t="s">
        <v>10</v>
      </c>
      <c r="C2" s="17">
        <v>6</v>
      </c>
      <c r="D2" s="17" t="s">
        <v>1</v>
      </c>
      <c r="E2" s="18">
        <v>5</v>
      </c>
      <c r="F2" s="17">
        <v>5</v>
      </c>
      <c r="G2" s="19" t="s">
        <v>1</v>
      </c>
      <c r="H2" s="17">
        <v>1</v>
      </c>
      <c r="I2" s="20">
        <v>1.2</v>
      </c>
      <c r="J2" s="21">
        <v>21.6</v>
      </c>
      <c r="K2" s="22">
        <v>0.8333333333333334</v>
      </c>
      <c r="L2" s="23">
        <v>10</v>
      </c>
      <c r="M2" s="24">
        <f>IF(MAX(0,ROUNDUP(F2*2-I2,0))=0,"",MAX(0,ROUNDUP(F2*2-I2,0)))</f>
        <v>9</v>
      </c>
    </row>
    <row r="3" spans="1:13" x14ac:dyDescent="0.25">
      <c r="A3" s="16" t="s">
        <v>11</v>
      </c>
      <c r="B3" s="16" t="s">
        <v>12</v>
      </c>
      <c r="C3" s="17">
        <v>2</v>
      </c>
      <c r="D3" s="17" t="s">
        <v>1</v>
      </c>
      <c r="E3" s="18">
        <v>2</v>
      </c>
      <c r="F3" s="17">
        <v>2</v>
      </c>
      <c r="G3" s="19" t="s">
        <v>1</v>
      </c>
      <c r="H3" s="17" t="s">
        <v>1</v>
      </c>
      <c r="I3" s="20">
        <v>1</v>
      </c>
      <c r="J3" s="21">
        <v>18</v>
      </c>
      <c r="K3" s="22">
        <v>1</v>
      </c>
      <c r="L3" s="23">
        <v>4</v>
      </c>
      <c r="M3" s="24">
        <f>IF(MAX(0,ROUNDUP(F3*2-I3,0))=0,"",MAX(0,ROUNDUP(F3*2-I3,0)))</f>
        <v>3</v>
      </c>
    </row>
    <row r="4" spans="1:13" x14ac:dyDescent="0.25">
      <c r="A4" s="16" t="s">
        <v>13</v>
      </c>
      <c r="B4" s="16" t="s">
        <v>14</v>
      </c>
      <c r="C4" s="17">
        <v>2</v>
      </c>
      <c r="D4" s="17" t="s">
        <v>1</v>
      </c>
      <c r="E4" s="18">
        <v>2</v>
      </c>
      <c r="F4" s="17">
        <v>2</v>
      </c>
      <c r="G4" s="19" t="s">
        <v>1</v>
      </c>
      <c r="H4" s="17" t="s">
        <v>1</v>
      </c>
      <c r="I4" s="20">
        <v>1</v>
      </c>
      <c r="J4" s="21">
        <v>18</v>
      </c>
      <c r="K4" s="22">
        <v>1</v>
      </c>
      <c r="L4" s="23">
        <v>4</v>
      </c>
      <c r="M4" s="24">
        <f>IF(MAX(0,ROUNDUP(F4*2-I4,0))=0,"",MAX(0,ROUNDUP(F4*2-I4,0)))</f>
        <v>3</v>
      </c>
    </row>
    <row r="5" spans="1:13" x14ac:dyDescent="0.25">
      <c r="A5" s="16" t="s">
        <v>15</v>
      </c>
      <c r="B5" s="16" t="s">
        <v>16</v>
      </c>
      <c r="C5" s="17" t="s">
        <v>1</v>
      </c>
      <c r="D5" s="17">
        <v>2</v>
      </c>
      <c r="E5" s="18">
        <v>1</v>
      </c>
      <c r="F5" s="17">
        <v>1</v>
      </c>
      <c r="G5" s="19" t="s">
        <v>1</v>
      </c>
      <c r="H5" s="17">
        <v>1</v>
      </c>
      <c r="I5" s="20">
        <v>2</v>
      </c>
      <c r="J5" s="21">
        <v>36</v>
      </c>
      <c r="K5" s="22">
        <v>0.5</v>
      </c>
      <c r="L5" s="23">
        <v>1</v>
      </c>
      <c r="M5" s="24" t="str">
        <f>IF(MAX(0,ROUNDUP(F5*2-I5,0))=0,"",MAX(0,ROUNDUP(F5*2-I5,0)))</f>
        <v/>
      </c>
    </row>
    <row r="6" spans="1:13" x14ac:dyDescent="0.25">
      <c r="A6" s="16" t="s">
        <v>17</v>
      </c>
      <c r="B6" s="16" t="s">
        <v>18</v>
      </c>
      <c r="C6" s="17">
        <v>2</v>
      </c>
      <c r="D6" s="17" t="s">
        <v>1</v>
      </c>
      <c r="E6" s="18">
        <v>1</v>
      </c>
      <c r="F6" s="17">
        <v>1</v>
      </c>
      <c r="G6" s="19" t="s">
        <v>1</v>
      </c>
      <c r="H6" s="17">
        <v>1</v>
      </c>
      <c r="I6" s="20">
        <v>2</v>
      </c>
      <c r="J6" s="21">
        <v>36</v>
      </c>
      <c r="K6" s="22">
        <v>0.5</v>
      </c>
      <c r="L6" s="23">
        <v>2</v>
      </c>
      <c r="M6" s="24" t="str">
        <f>IF(MAX(0,ROUNDUP(F6*2-I6,0))=0,"",MAX(0,ROUNDUP(F6*2-I6,0)))</f>
        <v/>
      </c>
    </row>
    <row r="7" spans="1:13" x14ac:dyDescent="0.25">
      <c r="A7" s="16" t="s">
        <v>19</v>
      </c>
      <c r="B7" s="16" t="s">
        <v>20</v>
      </c>
      <c r="C7" s="17">
        <v>2</v>
      </c>
      <c r="D7" s="17" t="s">
        <v>1</v>
      </c>
      <c r="E7" s="18">
        <v>1</v>
      </c>
      <c r="F7" s="17">
        <v>1</v>
      </c>
      <c r="G7" s="19" t="s">
        <v>1</v>
      </c>
      <c r="H7" s="17">
        <v>1</v>
      </c>
      <c r="I7" s="20">
        <v>2</v>
      </c>
      <c r="J7" s="21">
        <v>36</v>
      </c>
      <c r="K7" s="22">
        <v>0.5</v>
      </c>
      <c r="L7" s="23">
        <v>2</v>
      </c>
      <c r="M7" s="24" t="str">
        <f>IF(MAX(0,ROUNDUP(F7*2-I7,0))=0,"",MAX(0,ROUNDUP(F7*2-I7,0)))</f>
        <v/>
      </c>
    </row>
    <row r="8" spans="1:13" x14ac:dyDescent="0.25">
      <c r="A8" s="16" t="s">
        <v>21</v>
      </c>
      <c r="B8" s="16" t="s">
        <v>22</v>
      </c>
      <c r="C8" s="17">
        <v>3</v>
      </c>
      <c r="D8" s="17">
        <v>2</v>
      </c>
      <c r="E8" s="18">
        <v>2</v>
      </c>
      <c r="F8" s="17">
        <v>2</v>
      </c>
      <c r="G8" s="19" t="s">
        <v>1</v>
      </c>
      <c r="H8" s="17">
        <v>3</v>
      </c>
      <c r="I8" s="20">
        <v>2.5</v>
      </c>
      <c r="J8" s="21">
        <v>45</v>
      </c>
      <c r="K8" s="22">
        <v>0.4</v>
      </c>
      <c r="L8" s="23" t="s">
        <v>1</v>
      </c>
      <c r="M8" s="24">
        <f>IF(MAX(0,ROUNDUP(F8*2-I8,0))=0,"",MAX(0,ROUNDUP(F8*2-I8,0)))</f>
        <v>2</v>
      </c>
    </row>
    <row r="9" spans="1:13" x14ac:dyDescent="0.25">
      <c r="A9" s="16" t="s">
        <v>23</v>
      </c>
      <c r="B9" s="16" t="s">
        <v>24</v>
      </c>
      <c r="C9" s="17">
        <v>9</v>
      </c>
      <c r="D9" s="17" t="s">
        <v>1</v>
      </c>
      <c r="E9" s="18">
        <v>6</v>
      </c>
      <c r="F9" s="17">
        <v>6</v>
      </c>
      <c r="G9" s="19" t="s">
        <v>1</v>
      </c>
      <c r="H9" s="17">
        <v>3</v>
      </c>
      <c r="I9" s="20">
        <v>1.5</v>
      </c>
      <c r="J9" s="21">
        <v>27</v>
      </c>
      <c r="K9" s="22">
        <v>0.6666666666666666</v>
      </c>
      <c r="L9" s="23">
        <v>8</v>
      </c>
      <c r="M9" s="24">
        <f>IF(MAX(0,ROUNDUP(F9*2-I9,0))=0,"",MAX(0,ROUNDUP(F9*2-I9,0)))</f>
        <v>11</v>
      </c>
    </row>
    <row r="10" spans="1:13" x14ac:dyDescent="0.25">
      <c r="A10" s="16" t="s">
        <v>25</v>
      </c>
      <c r="B10" s="16" t="s">
        <v>26</v>
      </c>
      <c r="C10" s="17">
        <v>2</v>
      </c>
      <c r="D10" s="17" t="s">
        <v>1</v>
      </c>
      <c r="E10" s="18">
        <v>1</v>
      </c>
      <c r="F10" s="17">
        <v>1</v>
      </c>
      <c r="G10" s="19" t="s">
        <v>1</v>
      </c>
      <c r="H10" s="17">
        <v>1</v>
      </c>
      <c r="I10" s="20">
        <v>2</v>
      </c>
      <c r="J10" s="21">
        <v>36</v>
      </c>
      <c r="K10" s="22">
        <v>0.5</v>
      </c>
      <c r="L10" s="23">
        <v>1</v>
      </c>
      <c r="M10" s="24" t="str">
        <f>IF(MAX(0,ROUNDUP(F10*2-I10,0))=0,"",MAX(0,ROUNDUP(F10*2-I10,0)))</f>
        <v/>
      </c>
    </row>
    <row r="11" spans="1:13" x14ac:dyDescent="0.25">
      <c r="A11" s="16" t="s">
        <v>27</v>
      </c>
      <c r="B11" s="16" t="s">
        <v>28</v>
      </c>
      <c r="C11" s="17">
        <v>4</v>
      </c>
      <c r="D11" s="17">
        <v>3</v>
      </c>
      <c r="E11" s="18">
        <v>4</v>
      </c>
      <c r="F11" s="17">
        <v>4</v>
      </c>
      <c r="G11" s="19" t="s">
        <v>1</v>
      </c>
      <c r="H11" s="17">
        <v>3</v>
      </c>
      <c r="I11" s="20">
        <v>1.75</v>
      </c>
      <c r="J11" s="21">
        <v>31.5</v>
      </c>
      <c r="K11" s="22">
        <v>0.5714285714285714</v>
      </c>
      <c r="L11" s="23">
        <v>4</v>
      </c>
      <c r="M11" s="24">
        <f>IF(MAX(0,ROUNDUP(F11*2-I11,0))=0,"",MAX(0,ROUNDUP(F11*2-I11,0)))</f>
        <v>7</v>
      </c>
    </row>
    <row r="12" spans="1:13" x14ac:dyDescent="0.25">
      <c r="A12" s="16" t="s">
        <v>29</v>
      </c>
      <c r="B12" s="16" t="s">
        <v>30</v>
      </c>
      <c r="C12" s="17">
        <v>3</v>
      </c>
      <c r="D12" s="17" t="s">
        <v>1</v>
      </c>
      <c r="E12" s="18">
        <v>2</v>
      </c>
      <c r="F12" s="17">
        <v>2</v>
      </c>
      <c r="G12" s="19" t="s">
        <v>1</v>
      </c>
      <c r="H12" s="17">
        <v>1</v>
      </c>
      <c r="I12" s="20">
        <v>1.5</v>
      </c>
      <c r="J12" s="21">
        <v>27</v>
      </c>
      <c r="K12" s="22">
        <v>0.6666666666666666</v>
      </c>
      <c r="L12" s="23">
        <v>2</v>
      </c>
      <c r="M12" s="24">
        <f>IF(MAX(0,ROUNDUP(F12*2-I12,0))=0,"",MAX(0,ROUNDUP(F12*2-I12,0)))</f>
        <v>3</v>
      </c>
    </row>
    <row r="13" spans="1:13" x14ac:dyDescent="0.25">
      <c r="A13" s="16" t="s">
        <v>31</v>
      </c>
      <c r="B13" s="16" t="s">
        <v>32</v>
      </c>
      <c r="C13" s="17">
        <v>2</v>
      </c>
      <c r="D13" s="17" t="s">
        <v>1</v>
      </c>
      <c r="E13" s="18">
        <v>1</v>
      </c>
      <c r="F13" s="17">
        <v>1</v>
      </c>
      <c r="G13" s="19" t="s">
        <v>1</v>
      </c>
      <c r="H13" s="17">
        <v>1</v>
      </c>
      <c r="I13" s="20">
        <v>2</v>
      </c>
      <c r="J13" s="21">
        <v>36</v>
      </c>
      <c r="K13" s="22">
        <v>0.5</v>
      </c>
      <c r="L13" s="23">
        <v>1</v>
      </c>
      <c r="M13" s="24" t="str">
        <f>IF(MAX(0,ROUNDUP(F13*2-I13,0))=0,"",MAX(0,ROUNDUP(F13*2-I13,0)))</f>
        <v/>
      </c>
    </row>
    <row r="14" spans="1:13" x14ac:dyDescent="0.25">
      <c r="A14" s="16" t="s">
        <v>33</v>
      </c>
      <c r="B14" s="16" t="s">
        <v>34</v>
      </c>
      <c r="C14" s="17">
        <v>1</v>
      </c>
      <c r="D14" s="17" t="s">
        <v>1</v>
      </c>
      <c r="E14" s="18">
        <v>1</v>
      </c>
      <c r="F14" s="17">
        <v>1</v>
      </c>
      <c r="G14" s="19" t="s">
        <v>1</v>
      </c>
      <c r="H14" s="17" t="s">
        <v>1</v>
      </c>
      <c r="I14" s="20">
        <v>1</v>
      </c>
      <c r="J14" s="21">
        <v>18</v>
      </c>
      <c r="K14" s="22">
        <v>1</v>
      </c>
      <c r="L14" s="23">
        <v>2</v>
      </c>
      <c r="M14" s="24">
        <f>IF(MAX(0,ROUNDUP(F14*2-I14,0))=0,"",MAX(0,ROUNDUP(F14*2-I14,0)))</f>
        <v>1</v>
      </c>
    </row>
    <row r="15" spans="1:13" x14ac:dyDescent="0.25">
      <c r="A15" s="16" t="s">
        <v>35</v>
      </c>
      <c r="B15" s="16" t="s">
        <v>36</v>
      </c>
      <c r="C15" s="17">
        <v>1</v>
      </c>
      <c r="D15" s="17">
        <v>1</v>
      </c>
      <c r="E15" s="18">
        <v>2</v>
      </c>
      <c r="F15" s="17">
        <v>2</v>
      </c>
      <c r="G15" s="19" t="s">
        <v>1</v>
      </c>
      <c r="H15" s="17" t="s">
        <v>1</v>
      </c>
      <c r="I15" s="20">
        <v>1</v>
      </c>
      <c r="J15" s="21">
        <v>18</v>
      </c>
      <c r="K15" s="22">
        <v>1</v>
      </c>
      <c r="L15" s="23">
        <v>3</v>
      </c>
      <c r="M15" s="24">
        <f>IF(MAX(0,ROUNDUP(F15*2-I15,0))=0,"",MAX(0,ROUNDUP(F15*2-I15,0)))</f>
        <v>3</v>
      </c>
    </row>
    <row r="16" spans="1:13" x14ac:dyDescent="0.25">
      <c r="A16" s="16" t="s">
        <v>37</v>
      </c>
      <c r="B16" s="16" t="s">
        <v>38</v>
      </c>
      <c r="C16" s="17">
        <v>2</v>
      </c>
      <c r="D16" s="17" t="s">
        <v>1</v>
      </c>
      <c r="E16" s="18">
        <v>2</v>
      </c>
      <c r="F16" s="17">
        <v>2</v>
      </c>
      <c r="G16" s="19" t="s">
        <v>1</v>
      </c>
      <c r="H16" s="17" t="s">
        <v>1</v>
      </c>
      <c r="I16" s="20">
        <v>1</v>
      </c>
      <c r="J16" s="21">
        <v>18</v>
      </c>
      <c r="K16" s="22">
        <v>1</v>
      </c>
      <c r="L16" s="23">
        <v>4</v>
      </c>
      <c r="M16" s="24">
        <f>IF(MAX(0,ROUNDUP(F16*2-I16,0))=0,"",MAX(0,ROUNDUP(F16*2-I16,0)))</f>
        <v>3</v>
      </c>
    </row>
    <row r="17" spans="1:13" x14ac:dyDescent="0.25">
      <c r="A17" s="16" t="s">
        <v>39</v>
      </c>
      <c r="B17" s="16" t="s">
        <v>40</v>
      </c>
      <c r="C17" s="17">
        <v>1</v>
      </c>
      <c r="D17" s="17" t="s">
        <v>1</v>
      </c>
      <c r="E17" s="18">
        <v>1</v>
      </c>
      <c r="F17" s="17">
        <v>1</v>
      </c>
      <c r="G17" s="19" t="s">
        <v>1</v>
      </c>
      <c r="H17" s="17" t="s">
        <v>1</v>
      </c>
      <c r="I17" s="20">
        <v>1</v>
      </c>
      <c r="J17" s="21">
        <v>18</v>
      </c>
      <c r="K17" s="22">
        <v>1</v>
      </c>
      <c r="L17" s="23">
        <v>2</v>
      </c>
      <c r="M17" s="24">
        <f>IF(MAX(0,ROUNDUP(F17*2-I17,0))=0,"",MAX(0,ROUNDUP(F17*2-I17,0)))</f>
        <v>1</v>
      </c>
    </row>
    <row r="18" spans="1:13" x14ac:dyDescent="0.25">
      <c r="A18" s="16" t="s">
        <v>41</v>
      </c>
      <c r="B18" s="16" t="s">
        <v>42</v>
      </c>
      <c r="C18" s="17">
        <v>1</v>
      </c>
      <c r="D18" s="17">
        <v>1</v>
      </c>
      <c r="E18" s="18">
        <v>1</v>
      </c>
      <c r="F18" s="17">
        <v>1</v>
      </c>
      <c r="G18" s="19" t="s">
        <v>1</v>
      </c>
      <c r="H18" s="17">
        <v>1</v>
      </c>
      <c r="I18" s="20">
        <v>2</v>
      </c>
      <c r="J18" s="21">
        <v>36</v>
      </c>
      <c r="K18" s="22">
        <v>0.5</v>
      </c>
      <c r="L18" s="23">
        <v>1</v>
      </c>
      <c r="M18" s="24" t="str">
        <f>IF(MAX(0,ROUNDUP(F18*2-I18,0))=0,"",MAX(0,ROUNDUP(F18*2-I18,0)))</f>
        <v/>
      </c>
    </row>
    <row r="19" spans="1:13" x14ac:dyDescent="0.25">
      <c r="A19" s="16" t="s">
        <v>43</v>
      </c>
      <c r="B19" s="16" t="s">
        <v>44</v>
      </c>
      <c r="C19" s="17">
        <v>3</v>
      </c>
      <c r="D19" s="17" t="s">
        <v>1</v>
      </c>
      <c r="E19" s="18">
        <v>2</v>
      </c>
      <c r="F19" s="17">
        <v>2</v>
      </c>
      <c r="G19" s="19" t="s">
        <v>1</v>
      </c>
      <c r="H19" s="17">
        <v>1</v>
      </c>
      <c r="I19" s="20">
        <v>1.5</v>
      </c>
      <c r="J19" s="21">
        <v>27</v>
      </c>
      <c r="K19" s="22">
        <v>0.6666666666666666</v>
      </c>
      <c r="L19" s="23">
        <v>2</v>
      </c>
      <c r="M19" s="24">
        <f>IF(MAX(0,ROUNDUP(F19*2-I19,0))=0,"",MAX(0,ROUNDUP(F19*2-I19,0)))</f>
        <v>3</v>
      </c>
    </row>
    <row r="20" spans="1:13" x14ac:dyDescent="0.25">
      <c r="A20" s="16" t="s">
        <v>45</v>
      </c>
      <c r="B20" s="16" t="s">
        <v>46</v>
      </c>
      <c r="C20" s="17">
        <v>1</v>
      </c>
      <c r="D20" s="17" t="s">
        <v>1</v>
      </c>
      <c r="E20" s="18">
        <v>1</v>
      </c>
      <c r="F20" s="17">
        <v>1</v>
      </c>
      <c r="G20" s="19" t="s">
        <v>1</v>
      </c>
      <c r="H20" s="17" t="s">
        <v>1</v>
      </c>
      <c r="I20" s="20">
        <v>1</v>
      </c>
      <c r="J20" s="21">
        <v>18</v>
      </c>
      <c r="K20" s="22">
        <v>1</v>
      </c>
      <c r="L20" s="23">
        <v>1</v>
      </c>
      <c r="M20" s="24">
        <f>IF(MAX(0,ROUNDUP(F20*2-I20,0))=0,"",MAX(0,ROUNDUP(F20*2-I20,0)))</f>
        <v>1</v>
      </c>
    </row>
    <row r="21" spans="1:13" x14ac:dyDescent="0.25">
      <c r="A21" s="16" t="s">
        <v>47</v>
      </c>
      <c r="B21" s="16" t="s">
        <v>48</v>
      </c>
      <c r="C21" s="17">
        <v>1</v>
      </c>
      <c r="D21" s="17" t="s">
        <v>1</v>
      </c>
      <c r="E21" s="18">
        <v>1</v>
      </c>
      <c r="F21" s="17">
        <v>1</v>
      </c>
      <c r="G21" s="19" t="s">
        <v>1</v>
      </c>
      <c r="H21" s="17" t="s">
        <v>1</v>
      </c>
      <c r="I21" s="20">
        <v>1</v>
      </c>
      <c r="J21" s="21">
        <v>18</v>
      </c>
      <c r="K21" s="22">
        <v>1</v>
      </c>
      <c r="L21" s="23">
        <v>1</v>
      </c>
      <c r="M21" s="24">
        <f>IF(MAX(0,ROUNDUP(F21*2-I21,0))=0,"",MAX(0,ROUNDUP(F21*2-I21,0)))</f>
        <v>1</v>
      </c>
    </row>
    <row r="22" spans="1:13" x14ac:dyDescent="0.25">
      <c r="A22" s="16" t="s">
        <v>49</v>
      </c>
      <c r="B22" s="16" t="s">
        <v>50</v>
      </c>
      <c r="C22" s="17">
        <v>1</v>
      </c>
      <c r="D22" s="17" t="s">
        <v>1</v>
      </c>
      <c r="E22" s="18">
        <v>1</v>
      </c>
      <c r="F22" s="17">
        <v>1</v>
      </c>
      <c r="G22" s="19" t="s">
        <v>1</v>
      </c>
      <c r="H22" s="17" t="s">
        <v>1</v>
      </c>
      <c r="I22" s="20">
        <v>1</v>
      </c>
      <c r="J22" s="21">
        <v>18</v>
      </c>
      <c r="K22" s="22">
        <v>1</v>
      </c>
      <c r="L22" s="23">
        <v>1</v>
      </c>
      <c r="M22" s="24">
        <f>IF(MAX(0,ROUNDUP(F22*2-I22,0))=0,"",MAX(0,ROUNDUP(F22*2-I22,0)))</f>
        <v>1</v>
      </c>
    </row>
    <row r="23" spans="1:13" x14ac:dyDescent="0.25">
      <c r="A23" s="16" t="s">
        <v>51</v>
      </c>
      <c r="B23" s="16" t="s">
        <v>52</v>
      </c>
      <c r="C23" s="17">
        <v>2</v>
      </c>
      <c r="D23" s="17" t="s">
        <v>1</v>
      </c>
      <c r="E23" s="18">
        <v>1</v>
      </c>
      <c r="F23" s="17">
        <v>1</v>
      </c>
      <c r="G23" s="19" t="s">
        <v>1</v>
      </c>
      <c r="H23" s="17">
        <v>1</v>
      </c>
      <c r="I23" s="20">
        <v>2</v>
      </c>
      <c r="J23" s="21">
        <v>36</v>
      </c>
      <c r="K23" s="22">
        <v>0.5</v>
      </c>
      <c r="L23" s="23">
        <v>1</v>
      </c>
      <c r="M23" s="24" t="str">
        <f>IF(MAX(0,ROUNDUP(F23*2-I23,0))=0,"",MAX(0,ROUNDUP(F23*2-I23,0)))</f>
        <v/>
      </c>
    </row>
    <row r="24" spans="1:13" x14ac:dyDescent="0.25">
      <c r="A24" s="16" t="s">
        <v>53</v>
      </c>
      <c r="B24" s="16" t="s">
        <v>54</v>
      </c>
      <c r="C24" s="17">
        <v>1</v>
      </c>
      <c r="D24" s="17">
        <v>1</v>
      </c>
      <c r="E24" s="18">
        <v>1</v>
      </c>
      <c r="F24" s="17">
        <v>1</v>
      </c>
      <c r="G24" s="19" t="s">
        <v>1</v>
      </c>
      <c r="H24" s="17">
        <v>1</v>
      </c>
      <c r="I24" s="20">
        <v>2</v>
      </c>
      <c r="J24" s="21">
        <v>36</v>
      </c>
      <c r="K24" s="22">
        <v>0.5</v>
      </c>
      <c r="L24" s="23">
        <v>1</v>
      </c>
      <c r="M24" s="24" t="str">
        <f>IF(MAX(0,ROUNDUP(F24*2-I24,0))=0,"",MAX(0,ROUNDUP(F24*2-I24,0)))</f>
        <v/>
      </c>
    </row>
    <row r="25" spans="1:13" x14ac:dyDescent="0.25">
      <c r="A25" s="16" t="s">
        <v>55</v>
      </c>
      <c r="B25" s="16" t="s">
        <v>56</v>
      </c>
      <c r="C25" s="17">
        <v>1</v>
      </c>
      <c r="D25" s="17">
        <v>1</v>
      </c>
      <c r="E25" s="18">
        <v>1</v>
      </c>
      <c r="F25" s="17">
        <v>1</v>
      </c>
      <c r="G25" s="19" t="s">
        <v>1</v>
      </c>
      <c r="H25" s="17">
        <v>1</v>
      </c>
      <c r="I25" s="20">
        <v>2</v>
      </c>
      <c r="J25" s="21">
        <v>36</v>
      </c>
      <c r="K25" s="22">
        <v>0.5</v>
      </c>
      <c r="L25" s="23" t="s">
        <v>1</v>
      </c>
      <c r="M25" s="24" t="str">
        <f>IF(MAX(0,ROUNDUP(F25*2-I25,0))=0,"",MAX(0,ROUNDUP(F25*2-I25,0)))</f>
        <v/>
      </c>
    </row>
    <row r="26" spans="1:13" x14ac:dyDescent="0.25">
      <c r="A26" s="16" t="s">
        <v>57</v>
      </c>
      <c r="B26" s="16" t="s">
        <v>58</v>
      </c>
      <c r="C26" s="17">
        <v>2</v>
      </c>
      <c r="D26" s="17" t="s">
        <v>1</v>
      </c>
      <c r="E26" s="18">
        <v>1</v>
      </c>
      <c r="F26" s="17">
        <v>1</v>
      </c>
      <c r="G26" s="19" t="s">
        <v>1</v>
      </c>
      <c r="H26" s="17">
        <v>1</v>
      </c>
      <c r="I26" s="20">
        <v>2</v>
      </c>
      <c r="J26" s="21">
        <v>36</v>
      </c>
      <c r="K26" s="22">
        <v>0.5</v>
      </c>
      <c r="L26" s="23">
        <v>1</v>
      </c>
      <c r="M26" s="24" t="str">
        <f>IF(MAX(0,ROUNDUP(F26*2-I26,0))=0,"",MAX(0,ROUNDUP(F26*2-I26,0)))</f>
        <v/>
      </c>
    </row>
    <row r="27" spans="1:13" x14ac:dyDescent="0.25">
      <c r="A27" s="16" t="s">
        <v>59</v>
      </c>
      <c r="B27" s="16" t="s">
        <v>60</v>
      </c>
      <c r="C27" s="17">
        <v>1</v>
      </c>
      <c r="D27" s="17" t="s">
        <v>1</v>
      </c>
      <c r="E27" s="18">
        <v>1</v>
      </c>
      <c r="F27" s="17">
        <v>1</v>
      </c>
      <c r="G27" s="19" t="s">
        <v>1</v>
      </c>
      <c r="H27" s="17" t="s">
        <v>1</v>
      </c>
      <c r="I27" s="20">
        <v>1</v>
      </c>
      <c r="J27" s="21">
        <v>18</v>
      </c>
      <c r="K27" s="22">
        <v>1</v>
      </c>
      <c r="L27" s="23">
        <v>2</v>
      </c>
      <c r="M27" s="24">
        <f>IF(MAX(0,ROUNDUP(F27*2-I27,0))=0,"",MAX(0,ROUNDUP(F27*2-I27,0)))</f>
        <v>1</v>
      </c>
    </row>
    <row r="28" spans="1:13" x14ac:dyDescent="0.25">
      <c r="A28" s="16" t="s">
        <v>61</v>
      </c>
      <c r="B28" s="16" t="s">
        <v>62</v>
      </c>
      <c r="C28" s="17">
        <v>2</v>
      </c>
      <c r="D28" s="17" t="s">
        <v>1</v>
      </c>
      <c r="E28" s="18">
        <v>1</v>
      </c>
      <c r="F28" s="17">
        <v>1</v>
      </c>
      <c r="G28" s="19" t="s">
        <v>1</v>
      </c>
      <c r="H28" s="17">
        <v>1</v>
      </c>
      <c r="I28" s="20">
        <v>2</v>
      </c>
      <c r="J28" s="21">
        <v>36</v>
      </c>
      <c r="K28" s="22">
        <v>0.5</v>
      </c>
      <c r="L28" s="23">
        <v>1</v>
      </c>
      <c r="M28" s="24" t="str">
        <f>IF(MAX(0,ROUNDUP(F28*2-I28,0))=0,"",MAX(0,ROUNDUP(F28*2-I28,0)))</f>
        <v/>
      </c>
    </row>
    <row r="29" spans="1:13" x14ac:dyDescent="0.25">
      <c r="A29" s="16" t="s">
        <v>63</v>
      </c>
      <c r="B29" s="16" t="s">
        <v>64</v>
      </c>
      <c r="C29" s="17">
        <v>1</v>
      </c>
      <c r="D29" s="17" t="s">
        <v>1</v>
      </c>
      <c r="E29" s="18">
        <v>1</v>
      </c>
      <c r="F29" s="17">
        <v>1</v>
      </c>
      <c r="G29" s="19" t="s">
        <v>1</v>
      </c>
      <c r="H29" s="17" t="s">
        <v>1</v>
      </c>
      <c r="I29" s="20">
        <v>1</v>
      </c>
      <c r="J29" s="21">
        <v>18</v>
      </c>
      <c r="K29" s="22">
        <v>1</v>
      </c>
      <c r="L29" s="23">
        <v>2</v>
      </c>
      <c r="M29" s="24">
        <f>IF(MAX(0,ROUNDUP(F29*2-I29,0))=0,"",MAX(0,ROUNDUP(F29*2-I29,0)))</f>
        <v>1</v>
      </c>
    </row>
    <row r="30" spans="1:13" x14ac:dyDescent="0.25">
      <c r="A30" s="16" t="s">
        <v>65</v>
      </c>
      <c r="B30" s="16" t="s">
        <v>66</v>
      </c>
      <c r="C30" s="17">
        <v>1</v>
      </c>
      <c r="D30" s="17" t="s">
        <v>1</v>
      </c>
      <c r="E30" s="18">
        <v>1</v>
      </c>
      <c r="F30" s="17">
        <v>1</v>
      </c>
      <c r="G30" s="19" t="s">
        <v>1</v>
      </c>
      <c r="H30" s="17" t="s">
        <v>1</v>
      </c>
      <c r="I30" s="20">
        <v>1</v>
      </c>
      <c r="J30" s="21">
        <v>18</v>
      </c>
      <c r="K30" s="22">
        <v>1</v>
      </c>
      <c r="L30" s="23">
        <v>1</v>
      </c>
      <c r="M30" s="24">
        <f>IF(MAX(0,ROUNDUP(F30*2-I30,0))=0,"",MAX(0,ROUNDUP(F30*2-I30,0)))</f>
        <v>1</v>
      </c>
    </row>
    <row r="31" spans="1:13" x14ac:dyDescent="0.25">
      <c r="A31" s="16" t="s">
        <v>67</v>
      </c>
      <c r="B31" s="16" t="s">
        <v>68</v>
      </c>
      <c r="C31" s="17">
        <v>2</v>
      </c>
      <c r="D31" s="17" t="s">
        <v>1</v>
      </c>
      <c r="E31" s="18">
        <v>1</v>
      </c>
      <c r="F31" s="17">
        <v>1</v>
      </c>
      <c r="G31" s="19" t="s">
        <v>1</v>
      </c>
      <c r="H31" s="17">
        <v>1</v>
      </c>
      <c r="I31" s="20">
        <v>2</v>
      </c>
      <c r="J31" s="21">
        <v>36</v>
      </c>
      <c r="K31" s="22">
        <v>0.5</v>
      </c>
      <c r="L31" s="23">
        <v>1</v>
      </c>
      <c r="M31" s="24" t="str">
        <f>IF(MAX(0,ROUNDUP(F31*2-I31,0))=0,"",MAX(0,ROUNDUP(F31*2-I31,0)))</f>
        <v/>
      </c>
    </row>
    <row r="32" spans="1:13" x14ac:dyDescent="0.25">
      <c r="A32" s="16" t="s">
        <v>69</v>
      </c>
      <c r="B32" s="16" t="s">
        <v>70</v>
      </c>
      <c r="C32" s="17">
        <v>2</v>
      </c>
      <c r="D32" s="17" t="s">
        <v>1</v>
      </c>
      <c r="E32" s="18">
        <v>1</v>
      </c>
      <c r="F32" s="17">
        <v>1</v>
      </c>
      <c r="G32" s="19" t="s">
        <v>1</v>
      </c>
      <c r="H32" s="17">
        <v>1</v>
      </c>
      <c r="I32" s="20">
        <v>2</v>
      </c>
      <c r="J32" s="21">
        <v>36</v>
      </c>
      <c r="K32" s="22">
        <v>0.5</v>
      </c>
      <c r="L32" s="23">
        <v>1</v>
      </c>
      <c r="M32" s="24" t="str">
        <f>IF(MAX(0,ROUNDUP(F32*2-I32,0))=0,"",MAX(0,ROUNDUP(F32*2-I32,0)))</f>
        <v/>
      </c>
    </row>
    <row r="33" spans="1:13" x14ac:dyDescent="0.25">
      <c r="A33" s="16" t="s">
        <v>71</v>
      </c>
      <c r="B33" s="16" t="s">
        <v>72</v>
      </c>
      <c r="C33" s="17">
        <v>1</v>
      </c>
      <c r="D33" s="17" t="s">
        <v>1</v>
      </c>
      <c r="E33" s="18">
        <v>1</v>
      </c>
      <c r="F33" s="17">
        <v>1</v>
      </c>
      <c r="G33" s="19" t="s">
        <v>1</v>
      </c>
      <c r="H33" s="17" t="s">
        <v>1</v>
      </c>
      <c r="I33" s="20">
        <v>1</v>
      </c>
      <c r="J33" s="21">
        <v>18</v>
      </c>
      <c r="K33" s="22">
        <v>1</v>
      </c>
      <c r="L33" s="23">
        <v>2</v>
      </c>
      <c r="M33" s="24">
        <f>IF(MAX(0,ROUNDUP(F33*2-I33,0))=0,"",MAX(0,ROUNDUP(F33*2-I33,0)))</f>
        <v>1</v>
      </c>
    </row>
    <row r="34" spans="1:13" x14ac:dyDescent="0.25">
      <c r="A34" s="16" t="s">
        <v>73</v>
      </c>
      <c r="B34" s="16" t="s">
        <v>74</v>
      </c>
      <c r="C34" s="17" t="s">
        <v>1</v>
      </c>
      <c r="D34" s="17">
        <v>1</v>
      </c>
      <c r="E34" s="18">
        <v>1</v>
      </c>
      <c r="F34" s="17">
        <v>1</v>
      </c>
      <c r="G34" s="19" t="s">
        <v>1</v>
      </c>
      <c r="H34" s="17" t="s">
        <v>1</v>
      </c>
      <c r="I34" s="20">
        <v>1</v>
      </c>
      <c r="J34" s="21">
        <v>18</v>
      </c>
      <c r="K34" s="22">
        <v>1</v>
      </c>
      <c r="L34" s="23">
        <v>2</v>
      </c>
      <c r="M34" s="24">
        <f>IF(MAX(0,ROUNDUP(F34*2-I34,0))=0,"",MAX(0,ROUNDUP(F34*2-I34,0)))</f>
        <v>1</v>
      </c>
    </row>
    <row r="35" spans="1:13" x14ac:dyDescent="0.25">
      <c r="A35" s="16" t="s">
        <v>75</v>
      </c>
      <c r="B35" s="16" t="s">
        <v>76</v>
      </c>
      <c r="C35" s="17">
        <v>1</v>
      </c>
      <c r="D35" s="17" t="s">
        <v>1</v>
      </c>
      <c r="E35" s="18">
        <v>1</v>
      </c>
      <c r="F35" s="17">
        <v>1</v>
      </c>
      <c r="G35" s="19" t="s">
        <v>1</v>
      </c>
      <c r="H35" s="17" t="s">
        <v>1</v>
      </c>
      <c r="I35" s="20">
        <v>1</v>
      </c>
      <c r="J35" s="21">
        <v>18</v>
      </c>
      <c r="K35" s="22">
        <v>1</v>
      </c>
      <c r="L35" s="23">
        <v>2</v>
      </c>
      <c r="M35" s="24">
        <f>IF(MAX(0,ROUNDUP(F35*2-I35,0))=0,"",MAX(0,ROUNDUP(F35*2-I35,0)))</f>
        <v>1</v>
      </c>
    </row>
    <row r="36" spans="1:13" x14ac:dyDescent="0.25">
      <c r="A36" s="16" t="s">
        <v>77</v>
      </c>
      <c r="B36" s="16" t="s">
        <v>78</v>
      </c>
      <c r="C36" s="17">
        <v>1</v>
      </c>
      <c r="D36" s="17" t="s">
        <v>1</v>
      </c>
      <c r="E36" s="18">
        <v>1</v>
      </c>
      <c r="F36" s="17">
        <v>1</v>
      </c>
      <c r="G36" s="19" t="s">
        <v>1</v>
      </c>
      <c r="H36" s="17" t="s">
        <v>1</v>
      </c>
      <c r="I36" s="20">
        <v>1</v>
      </c>
      <c r="J36" s="21">
        <v>18</v>
      </c>
      <c r="K36" s="22">
        <v>1</v>
      </c>
      <c r="L36" s="23">
        <v>1</v>
      </c>
      <c r="M36" s="24">
        <f>IF(MAX(0,ROUNDUP(F36*2-I36,0))=0,"",MAX(0,ROUNDUP(F36*2-I36,0)))</f>
        <v>1</v>
      </c>
    </row>
    <row r="37" spans="1:13" x14ac:dyDescent="0.25">
      <c r="A37" s="16" t="s">
        <v>79</v>
      </c>
      <c r="B37" s="16" t="s">
        <v>80</v>
      </c>
      <c r="C37" s="17">
        <v>1</v>
      </c>
      <c r="D37" s="17" t="s">
        <v>1</v>
      </c>
      <c r="E37" s="18">
        <v>1</v>
      </c>
      <c r="F37" s="17">
        <v>1</v>
      </c>
      <c r="G37" s="19" t="s">
        <v>1</v>
      </c>
      <c r="H37" s="17" t="s">
        <v>1</v>
      </c>
      <c r="I37" s="20">
        <v>1</v>
      </c>
      <c r="J37" s="21">
        <v>18</v>
      </c>
      <c r="K37" s="22">
        <v>1</v>
      </c>
      <c r="L37" s="23">
        <v>1</v>
      </c>
      <c r="M37" s="24">
        <f>IF(MAX(0,ROUNDUP(F37*2-I37,0))=0,"",MAX(0,ROUNDUP(F37*2-I37,0)))</f>
        <v>1</v>
      </c>
    </row>
    <row r="38" spans="1:13" x14ac:dyDescent="0.25">
      <c r="A38" s="16" t="s">
        <v>81</v>
      </c>
      <c r="B38" s="16" t="s">
        <v>82</v>
      </c>
      <c r="C38" s="17">
        <v>1</v>
      </c>
      <c r="D38" s="17">
        <v>2</v>
      </c>
      <c r="E38" s="18">
        <v>3</v>
      </c>
      <c r="F38" s="17">
        <v>3</v>
      </c>
      <c r="G38" s="19" t="s">
        <v>1</v>
      </c>
      <c r="H38" s="17" t="s">
        <v>1</v>
      </c>
      <c r="I38" s="20">
        <v>1</v>
      </c>
      <c r="J38" s="21">
        <v>18</v>
      </c>
      <c r="K38" s="22">
        <v>1</v>
      </c>
      <c r="L38" s="23">
        <v>4</v>
      </c>
      <c r="M38" s="24">
        <f>IF(MAX(0,ROUNDUP(F38*2-I38,0))=0,"",MAX(0,ROUNDUP(F38*2-I38,0)))</f>
        <v>5</v>
      </c>
    </row>
    <row r="39" spans="1:13" x14ac:dyDescent="0.25">
      <c r="A39" s="16" t="s">
        <v>83</v>
      </c>
      <c r="B39" s="16" t="s">
        <v>84</v>
      </c>
      <c r="C39" s="17" t="s">
        <v>1</v>
      </c>
      <c r="D39" s="17">
        <v>2</v>
      </c>
      <c r="E39" s="18">
        <v>1</v>
      </c>
      <c r="F39" s="17">
        <v>1</v>
      </c>
      <c r="G39" s="19" t="s">
        <v>1</v>
      </c>
      <c r="H39" s="17">
        <v>1</v>
      </c>
      <c r="I39" s="20">
        <v>2</v>
      </c>
      <c r="J39" s="21">
        <v>36</v>
      </c>
      <c r="K39" s="22">
        <v>0.5</v>
      </c>
      <c r="L39" s="23">
        <v>1</v>
      </c>
      <c r="M39" s="24" t="str">
        <f>IF(MAX(0,ROUNDUP(F39*2-I39,0))=0,"",MAX(0,ROUNDUP(F39*2-I39,0)))</f>
        <v/>
      </c>
    </row>
    <row r="40" spans="1:13" x14ac:dyDescent="0.25">
      <c r="A40" s="16" t="s">
        <v>85</v>
      </c>
      <c r="B40" s="16" t="s">
        <v>86</v>
      </c>
      <c r="C40" s="17">
        <v>1</v>
      </c>
      <c r="D40" s="17">
        <v>1</v>
      </c>
      <c r="E40" s="18">
        <v>2</v>
      </c>
      <c r="F40" s="17">
        <v>2</v>
      </c>
      <c r="G40" s="19" t="s">
        <v>1</v>
      </c>
      <c r="H40" s="17" t="s">
        <v>1</v>
      </c>
      <c r="I40" s="20">
        <v>1</v>
      </c>
      <c r="J40" s="21">
        <v>18</v>
      </c>
      <c r="K40" s="22">
        <v>1</v>
      </c>
      <c r="L40" s="23">
        <v>2</v>
      </c>
      <c r="M40" s="24">
        <f>IF(MAX(0,ROUNDUP(F40*2-I40,0))=0,"",MAX(0,ROUNDUP(F40*2-I40,0)))</f>
        <v>3</v>
      </c>
    </row>
    <row r="41" spans="1:13" x14ac:dyDescent="0.25">
      <c r="A41" s="16" t="s">
        <v>87</v>
      </c>
      <c r="B41" s="16" t="s">
        <v>88</v>
      </c>
      <c r="C41" s="17">
        <v>1</v>
      </c>
      <c r="D41" s="17">
        <v>1</v>
      </c>
      <c r="E41" s="18">
        <v>2</v>
      </c>
      <c r="F41" s="17">
        <v>2</v>
      </c>
      <c r="G41" s="19" t="s">
        <v>1</v>
      </c>
      <c r="H41" s="17" t="s">
        <v>1</v>
      </c>
      <c r="I41" s="20">
        <v>1</v>
      </c>
      <c r="J41" s="21">
        <v>18</v>
      </c>
      <c r="K41" s="22">
        <v>1</v>
      </c>
      <c r="L41" s="23">
        <v>2</v>
      </c>
      <c r="M41" s="24">
        <f>IF(MAX(0,ROUNDUP(F41*2-I41,0))=0,"",MAX(0,ROUNDUP(F41*2-I41,0)))</f>
        <v>3</v>
      </c>
    </row>
    <row r="42" spans="1:13" x14ac:dyDescent="0.25">
      <c r="A42" s="16" t="s">
        <v>89</v>
      </c>
      <c r="B42" s="16" t="s">
        <v>90</v>
      </c>
      <c r="C42" s="17">
        <v>1</v>
      </c>
      <c r="D42" s="17" t="s">
        <v>1</v>
      </c>
      <c r="E42" s="18">
        <v>1</v>
      </c>
      <c r="F42" s="17">
        <v>1</v>
      </c>
      <c r="G42" s="19" t="s">
        <v>1</v>
      </c>
      <c r="H42" s="17" t="s">
        <v>1</v>
      </c>
      <c r="I42" s="20">
        <v>1</v>
      </c>
      <c r="J42" s="21">
        <v>18</v>
      </c>
      <c r="K42" s="22">
        <v>1</v>
      </c>
      <c r="L42" s="23">
        <v>1</v>
      </c>
      <c r="M42" s="24">
        <f>IF(MAX(0,ROUNDUP(F42*2-I42,0))=0,"",MAX(0,ROUNDUP(F42*2-I42,0)))</f>
        <v>1</v>
      </c>
    </row>
    <row r="43" spans="1:13" x14ac:dyDescent="0.25">
      <c r="A43" s="16" t="s">
        <v>91</v>
      </c>
      <c r="B43" s="16" t="s">
        <v>92</v>
      </c>
      <c r="C43" s="17">
        <v>1</v>
      </c>
      <c r="D43" s="17" t="s">
        <v>1</v>
      </c>
      <c r="E43" s="18">
        <v>1</v>
      </c>
      <c r="F43" s="17">
        <v>1</v>
      </c>
      <c r="G43" s="19" t="s">
        <v>1</v>
      </c>
      <c r="H43" s="17" t="s">
        <v>1</v>
      </c>
      <c r="I43" s="20">
        <v>1</v>
      </c>
      <c r="J43" s="21">
        <v>18</v>
      </c>
      <c r="K43" s="22">
        <v>1</v>
      </c>
      <c r="L43" s="23" t="s">
        <v>1</v>
      </c>
      <c r="M43" s="24">
        <f>IF(MAX(0,ROUNDUP(F43*2-I43,0))=0,"",MAX(0,ROUNDUP(F43*2-I43,0)))</f>
        <v>1</v>
      </c>
    </row>
    <row r="44" spans="1:13" x14ac:dyDescent="0.25">
      <c r="A44" s="16" t="s">
        <v>93</v>
      </c>
      <c r="B44" s="16" t="s">
        <v>94</v>
      </c>
      <c r="C44" s="17">
        <v>1</v>
      </c>
      <c r="D44" s="17" t="s">
        <v>1</v>
      </c>
      <c r="E44" s="18">
        <v>1</v>
      </c>
      <c r="F44" s="17">
        <v>1</v>
      </c>
      <c r="G44" s="19" t="s">
        <v>1</v>
      </c>
      <c r="H44" s="17" t="s">
        <v>1</v>
      </c>
      <c r="I44" s="20">
        <v>1</v>
      </c>
      <c r="J44" s="21">
        <v>18</v>
      </c>
      <c r="K44" s="22">
        <v>1</v>
      </c>
      <c r="L44" s="23">
        <v>1</v>
      </c>
      <c r="M44" s="24">
        <f>IF(MAX(0,ROUNDUP(F44*2-I44,0))=0,"",MAX(0,ROUNDUP(F44*2-I44,0)))</f>
        <v>1</v>
      </c>
    </row>
    <row r="45" spans="1:13" x14ac:dyDescent="0.25">
      <c r="A45" s="16" t="s">
        <v>95</v>
      </c>
      <c r="B45" s="16" t="s">
        <v>96</v>
      </c>
      <c r="C45" s="17">
        <v>1</v>
      </c>
      <c r="D45" s="17">
        <v>1</v>
      </c>
      <c r="E45" s="18">
        <v>1</v>
      </c>
      <c r="F45" s="17">
        <v>1</v>
      </c>
      <c r="G45" s="19" t="s">
        <v>1</v>
      </c>
      <c r="H45" s="17">
        <v>1</v>
      </c>
      <c r="I45" s="20">
        <v>2</v>
      </c>
      <c r="J45" s="21">
        <v>36</v>
      </c>
      <c r="K45" s="22">
        <v>0.5</v>
      </c>
      <c r="L45" s="23" t="s">
        <v>1</v>
      </c>
      <c r="M45" s="24" t="str">
        <f>IF(MAX(0,ROUNDUP(F45*2-I45,0))=0,"",MAX(0,ROUNDUP(F45*2-I45,0)))</f>
        <v/>
      </c>
    </row>
    <row r="46" spans="1:13" x14ac:dyDescent="0.25">
      <c r="A46" s="16" t="s">
        <v>97</v>
      </c>
      <c r="B46" s="16" t="s">
        <v>98</v>
      </c>
      <c r="C46" s="17" t="s">
        <v>1</v>
      </c>
      <c r="D46" s="17">
        <v>1</v>
      </c>
      <c r="E46" s="18">
        <v>1</v>
      </c>
      <c r="F46" s="17">
        <v>1</v>
      </c>
      <c r="G46" s="19" t="s">
        <v>1</v>
      </c>
      <c r="H46" s="17" t="s">
        <v>1</v>
      </c>
      <c r="I46" s="20">
        <v>1</v>
      </c>
      <c r="J46" s="21">
        <v>18</v>
      </c>
      <c r="K46" s="22">
        <v>1</v>
      </c>
      <c r="L46" s="23">
        <v>1</v>
      </c>
      <c r="M46" s="24">
        <f>IF(MAX(0,ROUNDUP(F46*2-I46,0))=0,"",MAX(0,ROUNDUP(F46*2-I46,0)))</f>
        <v>1</v>
      </c>
    </row>
    <row r="47" spans="1:13" x14ac:dyDescent="0.25">
      <c r="A47" s="16" t="s">
        <v>99</v>
      </c>
      <c r="B47" s="16" t="s">
        <v>100</v>
      </c>
      <c r="C47" s="17">
        <v>1</v>
      </c>
      <c r="D47" s="17" t="s">
        <v>1</v>
      </c>
      <c r="E47" s="18">
        <v>1</v>
      </c>
      <c r="F47" s="17">
        <v>1</v>
      </c>
      <c r="G47" s="19" t="s">
        <v>1</v>
      </c>
      <c r="H47" s="17" t="s">
        <v>1</v>
      </c>
      <c r="I47" s="20">
        <v>1</v>
      </c>
      <c r="J47" s="21">
        <v>18</v>
      </c>
      <c r="K47" s="22">
        <v>1</v>
      </c>
      <c r="L47" s="23">
        <v>1</v>
      </c>
      <c r="M47" s="24">
        <f>IF(MAX(0,ROUNDUP(F47*2-I47,0))=0,"",MAX(0,ROUNDUP(F47*2-I47,0)))</f>
        <v>1</v>
      </c>
    </row>
    <row r="48" spans="1:13" x14ac:dyDescent="0.25">
      <c r="A48" s="16" t="s">
        <v>101</v>
      </c>
      <c r="B48" s="16" t="s">
        <v>102</v>
      </c>
      <c r="C48" s="17">
        <v>2</v>
      </c>
      <c r="D48" s="17" t="s">
        <v>1</v>
      </c>
      <c r="E48" s="18">
        <v>2</v>
      </c>
      <c r="F48" s="17">
        <v>2</v>
      </c>
      <c r="G48" s="19" t="s">
        <v>1</v>
      </c>
      <c r="H48" s="17" t="s">
        <v>1</v>
      </c>
      <c r="I48" s="20">
        <v>1</v>
      </c>
      <c r="J48" s="21">
        <v>18</v>
      </c>
      <c r="K48" s="22">
        <v>1</v>
      </c>
      <c r="L48" s="23">
        <v>2</v>
      </c>
      <c r="M48" s="24">
        <f>IF(MAX(0,ROUNDUP(F48*2-I48,0))=0,"",MAX(0,ROUNDUP(F48*2-I48,0)))</f>
        <v>3</v>
      </c>
    </row>
    <row r="49" spans="1:13" x14ac:dyDescent="0.25">
      <c r="A49" s="16" t="s">
        <v>103</v>
      </c>
      <c r="B49" s="16" t="s">
        <v>104</v>
      </c>
      <c r="C49" s="17">
        <v>1</v>
      </c>
      <c r="D49" s="17">
        <v>3</v>
      </c>
      <c r="E49" s="18">
        <v>2</v>
      </c>
      <c r="F49" s="17">
        <v>2</v>
      </c>
      <c r="G49" s="19" t="s">
        <v>1</v>
      </c>
      <c r="H49" s="17">
        <v>2</v>
      </c>
      <c r="I49" s="20">
        <v>2</v>
      </c>
      <c r="J49" s="21">
        <v>36</v>
      </c>
      <c r="K49" s="22">
        <v>0.5</v>
      </c>
      <c r="L49" s="23">
        <v>1</v>
      </c>
      <c r="M49" s="24">
        <f>IF(MAX(0,ROUNDUP(F49*2-I49,0))=0,"",MAX(0,ROUNDUP(F49*2-I49,0)))</f>
        <v>2</v>
      </c>
    </row>
    <row r="50" spans="1:13" x14ac:dyDescent="0.25">
      <c r="A50" s="16" t="s">
        <v>105</v>
      </c>
      <c r="B50" s="16" t="s">
        <v>106</v>
      </c>
      <c r="C50" s="17">
        <v>1</v>
      </c>
      <c r="D50" s="17">
        <v>1</v>
      </c>
      <c r="E50" s="18">
        <v>1</v>
      </c>
      <c r="F50" s="17">
        <v>1</v>
      </c>
      <c r="G50" s="19" t="s">
        <v>1</v>
      </c>
      <c r="H50" s="17">
        <v>1</v>
      </c>
      <c r="I50" s="20">
        <v>2</v>
      </c>
      <c r="J50" s="21">
        <v>36</v>
      </c>
      <c r="K50" s="22">
        <v>0.5</v>
      </c>
      <c r="L50" s="23">
        <v>1</v>
      </c>
      <c r="M50" s="24" t="str">
        <f>IF(MAX(0,ROUNDUP(F50*2-I50,0))=0,"",MAX(0,ROUNDUP(F50*2-I50,0)))</f>
        <v/>
      </c>
    </row>
    <row r="51" spans="1:13" x14ac:dyDescent="0.25">
      <c r="A51" s="16" t="s">
        <v>107</v>
      </c>
      <c r="B51" s="16" t="s">
        <v>108</v>
      </c>
      <c r="C51" s="17">
        <v>1</v>
      </c>
      <c r="D51" s="17">
        <v>2</v>
      </c>
      <c r="E51" s="18">
        <v>2</v>
      </c>
      <c r="F51" s="17">
        <v>2</v>
      </c>
      <c r="G51" s="19" t="s">
        <v>1</v>
      </c>
      <c r="H51" s="17">
        <v>1</v>
      </c>
      <c r="I51" s="20">
        <v>1.5</v>
      </c>
      <c r="J51" s="21">
        <v>27</v>
      </c>
      <c r="K51" s="22">
        <v>0.6666666666666666</v>
      </c>
      <c r="L51" s="23">
        <v>1</v>
      </c>
      <c r="M51" s="24">
        <f>IF(MAX(0,ROUNDUP(F51*2-I51,0))=0,"",MAX(0,ROUNDUP(F51*2-I51,0)))</f>
        <v>3</v>
      </c>
    </row>
    <row r="52" spans="1:13" x14ac:dyDescent="0.25">
      <c r="A52" s="16" t="s">
        <v>109</v>
      </c>
      <c r="B52" s="16" t="s">
        <v>110</v>
      </c>
      <c r="C52" s="17">
        <v>1</v>
      </c>
      <c r="D52" s="17" t="s">
        <v>1</v>
      </c>
      <c r="E52" s="18">
        <v>1</v>
      </c>
      <c r="F52" s="17">
        <v>1</v>
      </c>
      <c r="G52" s="19" t="s">
        <v>1</v>
      </c>
      <c r="H52" s="17" t="s">
        <v>1</v>
      </c>
      <c r="I52" s="20">
        <v>1</v>
      </c>
      <c r="J52" s="21">
        <v>18</v>
      </c>
      <c r="K52" s="22">
        <v>1</v>
      </c>
      <c r="L52" s="23">
        <v>1</v>
      </c>
      <c r="M52" s="24">
        <f>IF(MAX(0,ROUNDUP(F52*2-I52,0))=0,"",MAX(0,ROUNDUP(F52*2-I52,0)))</f>
        <v>1</v>
      </c>
    </row>
    <row r="53" spans="1:13" x14ac:dyDescent="0.25">
      <c r="A53" s="16" t="s">
        <v>111</v>
      </c>
      <c r="B53" s="16" t="s">
        <v>112</v>
      </c>
      <c r="C53" s="17">
        <v>1</v>
      </c>
      <c r="D53" s="17" t="s">
        <v>1</v>
      </c>
      <c r="E53" s="18">
        <v>1</v>
      </c>
      <c r="F53" s="17">
        <v>1</v>
      </c>
      <c r="G53" s="19" t="s">
        <v>1</v>
      </c>
      <c r="H53" s="17" t="s">
        <v>1</v>
      </c>
      <c r="I53" s="20">
        <v>1</v>
      </c>
      <c r="J53" s="21">
        <v>18</v>
      </c>
      <c r="K53" s="22">
        <v>1</v>
      </c>
      <c r="L53" s="23">
        <v>1</v>
      </c>
      <c r="M53" s="24">
        <f>IF(MAX(0,ROUNDUP(F53*2-I53,0))=0,"",MAX(0,ROUNDUP(F53*2-I53,0)))</f>
        <v>1</v>
      </c>
    </row>
    <row r="54" spans="1:13" x14ac:dyDescent="0.25">
      <c r="A54" s="16" t="s">
        <v>113</v>
      </c>
      <c r="B54" s="16" t="s">
        <v>114</v>
      </c>
      <c r="C54" s="17">
        <v>1</v>
      </c>
      <c r="D54" s="17" t="s">
        <v>1</v>
      </c>
      <c r="E54" s="18">
        <v>1</v>
      </c>
      <c r="F54" s="17">
        <v>1</v>
      </c>
      <c r="G54" s="19" t="s">
        <v>1</v>
      </c>
      <c r="H54" s="17" t="s">
        <v>1</v>
      </c>
      <c r="I54" s="20">
        <v>1</v>
      </c>
      <c r="J54" s="21">
        <v>18</v>
      </c>
      <c r="K54" s="22">
        <v>1</v>
      </c>
      <c r="L54" s="23">
        <v>2</v>
      </c>
      <c r="M54" s="24">
        <f>IF(MAX(0,ROUNDUP(F54*2-I54,0))=0,"",MAX(0,ROUNDUP(F54*2-I54,0)))</f>
        <v>1</v>
      </c>
    </row>
    <row r="55" spans="1:13" x14ac:dyDescent="0.25">
      <c r="A55" s="16" t="s">
        <v>115</v>
      </c>
      <c r="B55" s="16" t="s">
        <v>116</v>
      </c>
      <c r="C55" s="17">
        <v>3</v>
      </c>
      <c r="D55" s="17" t="s">
        <v>1</v>
      </c>
      <c r="E55" s="18">
        <v>2</v>
      </c>
      <c r="F55" s="17">
        <v>2</v>
      </c>
      <c r="G55" s="19" t="s">
        <v>1</v>
      </c>
      <c r="H55" s="17">
        <v>1</v>
      </c>
      <c r="I55" s="20">
        <v>1.5</v>
      </c>
      <c r="J55" s="21">
        <v>27</v>
      </c>
      <c r="K55" s="22">
        <v>0.6666666666666666</v>
      </c>
      <c r="L55" s="23">
        <v>4</v>
      </c>
      <c r="M55" s="24">
        <f>IF(MAX(0,ROUNDUP(F55*2-I55,0))=0,"",MAX(0,ROUNDUP(F55*2-I55,0)))</f>
        <v>3</v>
      </c>
    </row>
    <row r="56" spans="1:13" x14ac:dyDescent="0.25">
      <c r="A56" s="16" t="s">
        <v>117</v>
      </c>
      <c r="B56" s="16" t="s">
        <v>118</v>
      </c>
      <c r="C56" s="17">
        <v>2</v>
      </c>
      <c r="D56" s="17">
        <v>2</v>
      </c>
      <c r="E56" s="18">
        <v>2</v>
      </c>
      <c r="F56" s="17">
        <v>2</v>
      </c>
      <c r="G56" s="19" t="s">
        <v>1</v>
      </c>
      <c r="H56" s="17">
        <v>2</v>
      </c>
      <c r="I56" s="20">
        <v>2</v>
      </c>
      <c r="J56" s="21">
        <v>36</v>
      </c>
      <c r="K56" s="22">
        <v>0.5</v>
      </c>
      <c r="L56" s="23">
        <v>2</v>
      </c>
      <c r="M56" s="24">
        <f>IF(MAX(0,ROUNDUP(F56*2-I56,0))=0,"",MAX(0,ROUNDUP(F56*2-I56,0)))</f>
        <v>2</v>
      </c>
    </row>
    <row r="57" spans="1:13" x14ac:dyDescent="0.25">
      <c r="A57" s="16" t="s">
        <v>119</v>
      </c>
      <c r="B57" s="16" t="s">
        <v>120</v>
      </c>
      <c r="C57" s="17">
        <v>2</v>
      </c>
      <c r="D57" s="17" t="s">
        <v>1</v>
      </c>
      <c r="E57" s="18">
        <v>1</v>
      </c>
      <c r="F57" s="17">
        <v>1</v>
      </c>
      <c r="G57" s="19" t="s">
        <v>1</v>
      </c>
      <c r="H57" s="17">
        <v>1</v>
      </c>
      <c r="I57" s="20">
        <v>2</v>
      </c>
      <c r="J57" s="21">
        <v>36</v>
      </c>
      <c r="K57" s="22">
        <v>0.5</v>
      </c>
      <c r="L57" s="23">
        <v>1</v>
      </c>
      <c r="M57" s="24" t="str">
        <f>IF(MAX(0,ROUNDUP(F57*2-I57,0))=0,"",MAX(0,ROUNDUP(F57*2-I57,0)))</f>
        <v/>
      </c>
    </row>
    <row r="58" spans="1:13" x14ac:dyDescent="0.25">
      <c r="A58" s="16" t="s">
        <v>121</v>
      </c>
      <c r="B58" s="16" t="s">
        <v>122</v>
      </c>
      <c r="C58" s="17" t="s">
        <v>1</v>
      </c>
      <c r="D58" s="17">
        <v>1</v>
      </c>
      <c r="E58" s="18">
        <v>1</v>
      </c>
      <c r="F58" s="17">
        <v>1</v>
      </c>
      <c r="G58" s="19" t="s">
        <v>1</v>
      </c>
      <c r="H58" s="17" t="s">
        <v>1</v>
      </c>
      <c r="I58" s="20">
        <v>1</v>
      </c>
      <c r="J58" s="21">
        <v>18</v>
      </c>
      <c r="K58" s="22">
        <v>1</v>
      </c>
      <c r="L58" s="23">
        <v>1</v>
      </c>
      <c r="M58" s="24">
        <f>IF(MAX(0,ROUNDUP(F58*2-I58,0))=0,"",MAX(0,ROUNDUP(F58*2-I58,0)))</f>
        <v>1</v>
      </c>
    </row>
    <row r="59" spans="1:13" x14ac:dyDescent="0.25">
      <c r="A59" s="16" t="s">
        <v>123</v>
      </c>
      <c r="B59" s="16" t="s">
        <v>124</v>
      </c>
      <c r="C59" s="17">
        <v>1</v>
      </c>
      <c r="D59" s="17" t="s">
        <v>1</v>
      </c>
      <c r="E59" s="18">
        <v>1</v>
      </c>
      <c r="F59" s="17">
        <v>1</v>
      </c>
      <c r="G59" s="19" t="s">
        <v>1</v>
      </c>
      <c r="H59" s="17" t="s">
        <v>1</v>
      </c>
      <c r="I59" s="20">
        <v>1</v>
      </c>
      <c r="J59" s="21">
        <v>18</v>
      </c>
      <c r="K59" s="22">
        <v>1</v>
      </c>
      <c r="L59" s="23">
        <v>1</v>
      </c>
      <c r="M59" s="24">
        <f>IF(MAX(0,ROUNDUP(F59*2-I59,0))=0,"",MAX(0,ROUNDUP(F59*2-I59,0)))</f>
        <v>1</v>
      </c>
    </row>
    <row r="60" spans="1:13" x14ac:dyDescent="0.25">
      <c r="A60" s="16" t="s">
        <v>125</v>
      </c>
      <c r="B60" s="16" t="s">
        <v>126</v>
      </c>
      <c r="C60" s="17">
        <v>1</v>
      </c>
      <c r="D60" s="17" t="s">
        <v>1</v>
      </c>
      <c r="E60" s="18">
        <v>1</v>
      </c>
      <c r="F60" s="17">
        <v>1</v>
      </c>
      <c r="G60" s="19" t="s">
        <v>1</v>
      </c>
      <c r="H60" s="17" t="s">
        <v>1</v>
      </c>
      <c r="I60" s="20">
        <v>1</v>
      </c>
      <c r="J60" s="21">
        <v>18</v>
      </c>
      <c r="K60" s="22">
        <v>1</v>
      </c>
      <c r="L60" s="23">
        <v>2</v>
      </c>
      <c r="M60" s="24">
        <f>IF(MAX(0,ROUNDUP(F60*2-I60,0))=0,"",MAX(0,ROUNDUP(F60*2-I60,0)))</f>
        <v>1</v>
      </c>
    </row>
    <row r="61" spans="1:13" x14ac:dyDescent="0.25">
      <c r="A61" s="16" t="s">
        <v>127</v>
      </c>
      <c r="B61" s="16" t="s">
        <v>128</v>
      </c>
      <c r="C61" s="17">
        <v>1</v>
      </c>
      <c r="D61" s="17">
        <v>1</v>
      </c>
      <c r="E61" s="18">
        <v>1</v>
      </c>
      <c r="F61" s="17">
        <v>1</v>
      </c>
      <c r="G61" s="19" t="s">
        <v>1</v>
      </c>
      <c r="H61" s="17">
        <v>1</v>
      </c>
      <c r="I61" s="20">
        <v>2</v>
      </c>
      <c r="J61" s="21">
        <v>36</v>
      </c>
      <c r="K61" s="22">
        <v>0.5</v>
      </c>
      <c r="L61" s="23">
        <v>1</v>
      </c>
      <c r="M61" s="24" t="str">
        <f>IF(MAX(0,ROUNDUP(F61*2-I61,0))=0,"",MAX(0,ROUNDUP(F61*2-I61,0)))</f>
        <v/>
      </c>
    </row>
    <row r="62" spans="1:13" x14ac:dyDescent="0.25">
      <c r="A62" s="16" t="s">
        <v>129</v>
      </c>
      <c r="B62" s="16" t="s">
        <v>130</v>
      </c>
      <c r="C62" s="17">
        <v>1</v>
      </c>
      <c r="D62" s="17" t="s">
        <v>1</v>
      </c>
      <c r="E62" s="18">
        <v>1</v>
      </c>
      <c r="F62" s="17">
        <v>1</v>
      </c>
      <c r="G62" s="19" t="s">
        <v>1</v>
      </c>
      <c r="H62" s="17" t="s">
        <v>1</v>
      </c>
      <c r="I62" s="20">
        <v>1</v>
      </c>
      <c r="J62" s="21">
        <v>18</v>
      </c>
      <c r="K62" s="22">
        <v>1</v>
      </c>
      <c r="L62" s="23">
        <v>2</v>
      </c>
      <c r="M62" s="24">
        <f>IF(MAX(0,ROUNDUP(F62*2-I62,0))=0,"",MAX(0,ROUNDUP(F62*2-I62,0)))</f>
        <v>1</v>
      </c>
    </row>
    <row r="63" spans="1:13" x14ac:dyDescent="0.25">
      <c r="A63" s="16" t="s">
        <v>131</v>
      </c>
      <c r="B63" s="16" t="s">
        <v>132</v>
      </c>
      <c r="C63" s="17">
        <v>2</v>
      </c>
      <c r="D63" s="17" t="s">
        <v>1</v>
      </c>
      <c r="E63" s="18">
        <v>1</v>
      </c>
      <c r="F63" s="17">
        <v>1</v>
      </c>
      <c r="G63" s="19" t="s">
        <v>1</v>
      </c>
      <c r="H63" s="17">
        <v>1</v>
      </c>
      <c r="I63" s="20">
        <v>2</v>
      </c>
      <c r="J63" s="21">
        <v>36</v>
      </c>
      <c r="K63" s="22">
        <v>0.5</v>
      </c>
      <c r="L63" s="23">
        <v>1</v>
      </c>
      <c r="M63" s="24" t="str">
        <f>IF(MAX(0,ROUNDUP(F63*2-I63,0))=0,"",MAX(0,ROUNDUP(F63*2-I63,0)))</f>
        <v/>
      </c>
    </row>
    <row r="64" spans="1:13" x14ac:dyDescent="0.25">
      <c r="A64" s="16" t="s">
        <v>133</v>
      </c>
      <c r="B64" s="16" t="s">
        <v>134</v>
      </c>
      <c r="C64" s="17">
        <v>1</v>
      </c>
      <c r="D64" s="17" t="s">
        <v>1</v>
      </c>
      <c r="E64" s="18">
        <v>1</v>
      </c>
      <c r="F64" s="17">
        <v>1</v>
      </c>
      <c r="G64" s="19" t="s">
        <v>1</v>
      </c>
      <c r="H64" s="17" t="s">
        <v>1</v>
      </c>
      <c r="I64" s="20">
        <v>1</v>
      </c>
      <c r="J64" s="21">
        <v>18</v>
      </c>
      <c r="K64" s="22">
        <v>1</v>
      </c>
      <c r="L64" s="23">
        <v>2</v>
      </c>
      <c r="M64" s="24">
        <f>IF(MAX(0,ROUNDUP(F64*2-I64,0))=0,"",MAX(0,ROUNDUP(F64*2-I64,0)))</f>
        <v>1</v>
      </c>
    </row>
    <row r="65" spans="1:13" x14ac:dyDescent="0.25">
      <c r="A65" s="16" t="s">
        <v>135</v>
      </c>
      <c r="B65" s="16" t="s">
        <v>136</v>
      </c>
      <c r="C65" s="17">
        <v>1</v>
      </c>
      <c r="D65" s="17">
        <v>1</v>
      </c>
      <c r="E65" s="18">
        <v>1</v>
      </c>
      <c r="F65" s="17">
        <v>1</v>
      </c>
      <c r="G65" s="19" t="s">
        <v>1</v>
      </c>
      <c r="H65" s="17">
        <v>1</v>
      </c>
      <c r="I65" s="20">
        <v>2</v>
      </c>
      <c r="J65" s="21">
        <v>36</v>
      </c>
      <c r="K65" s="22">
        <v>0.5</v>
      </c>
      <c r="L65" s="23" t="s">
        <v>1</v>
      </c>
      <c r="M65" s="24" t="str">
        <f>IF(MAX(0,ROUNDUP(F65*2-I65,0))=0,"",MAX(0,ROUNDUP(F65*2-I65,0)))</f>
        <v/>
      </c>
    </row>
    <row r="66" spans="1:13" x14ac:dyDescent="0.25">
      <c r="A66" s="16" t="s">
        <v>137</v>
      </c>
      <c r="B66" s="16" t="s">
        <v>138</v>
      </c>
      <c r="C66" s="17">
        <v>1</v>
      </c>
      <c r="D66" s="17" t="s">
        <v>1</v>
      </c>
      <c r="E66" s="18">
        <v>1</v>
      </c>
      <c r="F66" s="17">
        <v>1</v>
      </c>
      <c r="G66" s="19" t="s">
        <v>1</v>
      </c>
      <c r="H66" s="17" t="s">
        <v>1</v>
      </c>
      <c r="I66" s="20">
        <v>1</v>
      </c>
      <c r="J66" s="21">
        <v>18</v>
      </c>
      <c r="K66" s="22">
        <v>1</v>
      </c>
      <c r="L66" s="23">
        <v>1</v>
      </c>
      <c r="M66" s="24">
        <f>IF(MAX(0,ROUNDUP(F66*2-I66,0))=0,"",MAX(0,ROUNDUP(F66*2-I66,0)))</f>
        <v>1</v>
      </c>
    </row>
    <row r="67" spans="1:13" x14ac:dyDescent="0.25">
      <c r="A67" s="16" t="s">
        <v>139</v>
      </c>
      <c r="B67" s="16" t="s">
        <v>140</v>
      </c>
      <c r="C67" s="17">
        <v>1</v>
      </c>
      <c r="D67" s="17">
        <v>1</v>
      </c>
      <c r="E67" s="18">
        <v>1</v>
      </c>
      <c r="F67" s="17">
        <v>1</v>
      </c>
      <c r="G67" s="19" t="s">
        <v>1</v>
      </c>
      <c r="H67" s="17">
        <v>1</v>
      </c>
      <c r="I67" s="20">
        <v>2</v>
      </c>
      <c r="J67" s="21">
        <v>36</v>
      </c>
      <c r="K67" s="22">
        <v>0.5</v>
      </c>
      <c r="L67" s="23">
        <v>1</v>
      </c>
      <c r="M67" s="24" t="str">
        <f>IF(MAX(0,ROUNDUP(F67*2-I67,0))=0,"",MAX(0,ROUNDUP(F67*2-I67,0)))</f>
        <v/>
      </c>
    </row>
    <row r="68" spans="1:13" x14ac:dyDescent="0.25">
      <c r="A68" s="16" t="s">
        <v>141</v>
      </c>
      <c r="B68" s="16" t="s">
        <v>142</v>
      </c>
      <c r="C68" s="17">
        <v>1</v>
      </c>
      <c r="D68" s="17" t="s">
        <v>1</v>
      </c>
      <c r="E68" s="18">
        <v>1</v>
      </c>
      <c r="F68" s="17">
        <v>1</v>
      </c>
      <c r="G68" s="19" t="s">
        <v>1</v>
      </c>
      <c r="H68" s="17" t="s">
        <v>1</v>
      </c>
      <c r="I68" s="20">
        <v>1</v>
      </c>
      <c r="J68" s="21">
        <v>18</v>
      </c>
      <c r="K68" s="22">
        <v>1</v>
      </c>
      <c r="L68" s="23">
        <v>1</v>
      </c>
      <c r="M68" s="24">
        <f>IF(MAX(0,ROUNDUP(F68*2-I68,0))=0,"",MAX(0,ROUNDUP(F68*2-I68,0)))</f>
        <v>1</v>
      </c>
    </row>
    <row r="69" spans="1:13" x14ac:dyDescent="0.25">
      <c r="A69" s="16" t="s">
        <v>143</v>
      </c>
      <c r="B69" s="16" t="s">
        <v>144</v>
      </c>
      <c r="C69" s="17">
        <v>1</v>
      </c>
      <c r="D69" s="17" t="s">
        <v>1</v>
      </c>
      <c r="E69" s="18">
        <v>1</v>
      </c>
      <c r="F69" s="17">
        <v>1</v>
      </c>
      <c r="G69" s="19" t="s">
        <v>1</v>
      </c>
      <c r="H69" s="17" t="s">
        <v>1</v>
      </c>
      <c r="I69" s="20">
        <v>1</v>
      </c>
      <c r="J69" s="21">
        <v>18</v>
      </c>
      <c r="K69" s="22">
        <v>1</v>
      </c>
      <c r="L69" s="23">
        <v>2</v>
      </c>
      <c r="M69" s="24">
        <f>IF(MAX(0,ROUNDUP(F69*2-I69,0))=0,"",MAX(0,ROUNDUP(F69*2-I69,0)))</f>
        <v>1</v>
      </c>
    </row>
    <row r="70" spans="1:13" x14ac:dyDescent="0.25">
      <c r="A70" s="16" t="s">
        <v>145</v>
      </c>
      <c r="B70" s="16" t="s">
        <v>146</v>
      </c>
      <c r="C70" s="17" t="s">
        <v>1</v>
      </c>
      <c r="D70" s="17">
        <v>1</v>
      </c>
      <c r="E70" s="18">
        <v>1</v>
      </c>
      <c r="F70" s="17">
        <v>1</v>
      </c>
      <c r="G70" s="19" t="s">
        <v>1</v>
      </c>
      <c r="H70" s="17" t="s">
        <v>1</v>
      </c>
      <c r="I70" s="20">
        <v>1</v>
      </c>
      <c r="J70" s="21">
        <v>18</v>
      </c>
      <c r="K70" s="22">
        <v>1</v>
      </c>
      <c r="L70" s="23">
        <v>2</v>
      </c>
      <c r="M70" s="24">
        <f>IF(MAX(0,ROUNDUP(F70*2-I70,0))=0,"",MAX(0,ROUNDUP(F70*2-I70,0)))</f>
        <v>1</v>
      </c>
    </row>
    <row r="71" spans="1:13" x14ac:dyDescent="0.25">
      <c r="A71" s="16" t="s">
        <v>147</v>
      </c>
      <c r="B71" s="16" t="s">
        <v>148</v>
      </c>
      <c r="C71" s="17">
        <v>1</v>
      </c>
      <c r="D71" s="17" t="s">
        <v>1</v>
      </c>
      <c r="E71" s="18">
        <v>1</v>
      </c>
      <c r="F71" s="17">
        <v>1</v>
      </c>
      <c r="G71" s="19" t="s">
        <v>1</v>
      </c>
      <c r="H71" s="17" t="s">
        <v>1</v>
      </c>
      <c r="I71" s="20">
        <v>1</v>
      </c>
      <c r="J71" s="21">
        <v>18</v>
      </c>
      <c r="K71" s="22">
        <v>1</v>
      </c>
      <c r="L71" s="23" t="s">
        <v>1</v>
      </c>
      <c r="M71" s="24">
        <f>IF(MAX(0,ROUNDUP(F71*2-I71,0))=0,"",MAX(0,ROUNDUP(F71*2-I71,0)))</f>
        <v>1</v>
      </c>
    </row>
    <row r="72" spans="1:13" x14ac:dyDescent="0.25">
      <c r="A72" s="16" t="s">
        <v>149</v>
      </c>
      <c r="B72" s="16" t="s">
        <v>150</v>
      </c>
      <c r="C72" s="17">
        <v>1</v>
      </c>
      <c r="D72" s="17" t="s">
        <v>1</v>
      </c>
      <c r="E72" s="18">
        <v>1</v>
      </c>
      <c r="F72" s="17">
        <v>1</v>
      </c>
      <c r="G72" s="19" t="s">
        <v>1</v>
      </c>
      <c r="H72" s="17" t="s">
        <v>1</v>
      </c>
      <c r="I72" s="20">
        <v>1</v>
      </c>
      <c r="J72" s="21">
        <v>18</v>
      </c>
      <c r="K72" s="22">
        <v>1</v>
      </c>
      <c r="L72" s="23">
        <v>1</v>
      </c>
      <c r="M72" s="24">
        <f>IF(MAX(0,ROUNDUP(F72*2-I72,0))=0,"",MAX(0,ROUNDUP(F72*2-I72,0)))</f>
        <v>1</v>
      </c>
    </row>
    <row r="73" spans="1:13" x14ac:dyDescent="0.25">
      <c r="A73" s="16" t="s">
        <v>151</v>
      </c>
      <c r="B73" s="16" t="s">
        <v>152</v>
      </c>
      <c r="C73" s="17">
        <v>1</v>
      </c>
      <c r="D73" s="17" t="s">
        <v>1</v>
      </c>
      <c r="E73" s="18">
        <v>1</v>
      </c>
      <c r="F73" s="17">
        <v>1</v>
      </c>
      <c r="G73" s="19" t="s">
        <v>1</v>
      </c>
      <c r="H73" s="17" t="s">
        <v>1</v>
      </c>
      <c r="I73" s="20">
        <v>1</v>
      </c>
      <c r="J73" s="21">
        <v>18</v>
      </c>
      <c r="K73" s="22">
        <v>1</v>
      </c>
      <c r="L73" s="23">
        <v>1</v>
      </c>
      <c r="M73" s="24">
        <f>IF(MAX(0,ROUNDUP(F73*2-I73,0))=0,"",MAX(0,ROUNDUP(F73*2-I73,0)))</f>
        <v>1</v>
      </c>
    </row>
    <row r="74" spans="1:13" x14ac:dyDescent="0.25">
      <c r="A74" s="16" t="s">
        <v>153</v>
      </c>
      <c r="B74" s="16" t="s">
        <v>154</v>
      </c>
      <c r="C74" s="17">
        <v>1</v>
      </c>
      <c r="D74" s="17" t="s">
        <v>1</v>
      </c>
      <c r="E74" s="18">
        <v>1</v>
      </c>
      <c r="F74" s="17">
        <v>1</v>
      </c>
      <c r="G74" s="19" t="s">
        <v>1</v>
      </c>
      <c r="H74" s="17" t="s">
        <v>1</v>
      </c>
      <c r="I74" s="20">
        <v>1</v>
      </c>
      <c r="J74" s="21">
        <v>18</v>
      </c>
      <c r="K74" s="22">
        <v>1</v>
      </c>
      <c r="L74" s="23">
        <v>1</v>
      </c>
      <c r="M74" s="24">
        <f>IF(MAX(0,ROUNDUP(F74*2-I74,0))=0,"",MAX(0,ROUNDUP(F74*2-I74,0)))</f>
        <v>1</v>
      </c>
    </row>
    <row r="75" spans="1:13" x14ac:dyDescent="0.25">
      <c r="A75" s="16" t="s">
        <v>155</v>
      </c>
      <c r="B75" s="16" t="s">
        <v>156</v>
      </c>
      <c r="C75" s="17">
        <v>1</v>
      </c>
      <c r="D75" s="17" t="s">
        <v>1</v>
      </c>
      <c r="E75" s="18">
        <v>1</v>
      </c>
      <c r="F75" s="17">
        <v>1</v>
      </c>
      <c r="G75" s="19" t="s">
        <v>1</v>
      </c>
      <c r="H75" s="17" t="s">
        <v>1</v>
      </c>
      <c r="I75" s="20">
        <v>1</v>
      </c>
      <c r="J75" s="21">
        <v>18</v>
      </c>
      <c r="K75" s="22">
        <v>1</v>
      </c>
      <c r="L75" s="23">
        <v>2</v>
      </c>
      <c r="M75" s="24">
        <f>IF(MAX(0,ROUNDUP(F75*2-I75,0))=0,"",MAX(0,ROUNDUP(F75*2-I75,0)))</f>
        <v>1</v>
      </c>
    </row>
    <row r="76" spans="1:13" x14ac:dyDescent="0.25">
      <c r="A76" s="16" t="s">
        <v>157</v>
      </c>
      <c r="B76" s="16" t="s">
        <v>158</v>
      </c>
      <c r="C76" s="17">
        <v>1</v>
      </c>
      <c r="D76" s="17" t="s">
        <v>1</v>
      </c>
      <c r="E76" s="18">
        <v>1</v>
      </c>
      <c r="F76" s="17">
        <v>1</v>
      </c>
      <c r="G76" s="19" t="s">
        <v>1</v>
      </c>
      <c r="H76" s="17" t="s">
        <v>1</v>
      </c>
      <c r="I76" s="20">
        <v>1</v>
      </c>
      <c r="J76" s="21">
        <v>18</v>
      </c>
      <c r="K76" s="22">
        <v>1</v>
      </c>
      <c r="L76" s="23">
        <v>2</v>
      </c>
      <c r="M76" s="24">
        <f>IF(MAX(0,ROUNDUP(F76*2-I76,0))=0,"",MAX(0,ROUNDUP(F76*2-I76,0)))</f>
        <v>1</v>
      </c>
    </row>
    <row r="77" spans="1:13" x14ac:dyDescent="0.25">
      <c r="A77" s="16" t="s">
        <v>159</v>
      </c>
      <c r="B77" s="16" t="s">
        <v>160</v>
      </c>
      <c r="C77" s="17">
        <v>1</v>
      </c>
      <c r="D77" s="17" t="s">
        <v>1</v>
      </c>
      <c r="E77" s="18">
        <v>1</v>
      </c>
      <c r="F77" s="17">
        <v>1</v>
      </c>
      <c r="G77" s="19" t="s">
        <v>1</v>
      </c>
      <c r="H77" s="17" t="s">
        <v>1</v>
      </c>
      <c r="I77" s="20">
        <v>1</v>
      </c>
      <c r="J77" s="21">
        <v>18</v>
      </c>
      <c r="K77" s="22">
        <v>1</v>
      </c>
      <c r="L77" s="23">
        <v>1</v>
      </c>
      <c r="M77" s="24">
        <f>IF(MAX(0,ROUNDUP(F77*2-I77,0))=0,"",MAX(0,ROUNDUP(F77*2-I77,0)))</f>
        <v>1</v>
      </c>
    </row>
    <row r="78" spans="1:13" x14ac:dyDescent="0.25">
      <c r="A78" s="16" t="s">
        <v>161</v>
      </c>
      <c r="B78" s="16" t="s">
        <v>162</v>
      </c>
      <c r="C78" s="17">
        <v>1</v>
      </c>
      <c r="D78" s="17" t="s">
        <v>1</v>
      </c>
      <c r="E78" s="18">
        <v>1</v>
      </c>
      <c r="F78" s="17">
        <v>1</v>
      </c>
      <c r="G78" s="19" t="s">
        <v>1</v>
      </c>
      <c r="H78" s="17" t="s">
        <v>1</v>
      </c>
      <c r="I78" s="20">
        <v>1</v>
      </c>
      <c r="J78" s="21">
        <v>18</v>
      </c>
      <c r="K78" s="22">
        <v>1</v>
      </c>
      <c r="L78" s="23">
        <v>1</v>
      </c>
      <c r="M78" s="24">
        <f>IF(MAX(0,ROUNDUP(F78*2-I78,0))=0,"",MAX(0,ROUNDUP(F78*2-I78,0)))</f>
        <v>1</v>
      </c>
    </row>
    <row r="79" spans="1:13" x14ac:dyDescent="0.25">
      <c r="A79" s="16" t="s">
        <v>163</v>
      </c>
      <c r="B79" s="16" t="s">
        <v>164</v>
      </c>
      <c r="C79" s="17">
        <v>1</v>
      </c>
      <c r="D79" s="17">
        <v>1</v>
      </c>
      <c r="E79" s="18">
        <v>2</v>
      </c>
      <c r="F79" s="17">
        <v>2</v>
      </c>
      <c r="G79" s="19" t="s">
        <v>1</v>
      </c>
      <c r="H79" s="17" t="s">
        <v>1</v>
      </c>
      <c r="I79" s="20">
        <v>1</v>
      </c>
      <c r="J79" s="21">
        <v>18</v>
      </c>
      <c r="K79" s="22">
        <v>1</v>
      </c>
      <c r="L79" s="23">
        <v>2</v>
      </c>
      <c r="M79" s="24">
        <f>IF(MAX(0,ROUNDUP(F79*2-I79,0))=0,"",MAX(0,ROUNDUP(F79*2-I79,0)))</f>
        <v>3</v>
      </c>
    </row>
    <row r="80" spans="1:13" x14ac:dyDescent="0.25">
      <c r="A80" s="16" t="s">
        <v>165</v>
      </c>
      <c r="B80" s="16" t="s">
        <v>166</v>
      </c>
      <c r="C80" s="17">
        <v>2</v>
      </c>
      <c r="D80" s="17" t="s">
        <v>1</v>
      </c>
      <c r="E80" s="18">
        <v>1</v>
      </c>
      <c r="F80" s="17">
        <v>1</v>
      </c>
      <c r="G80" s="19" t="s">
        <v>1</v>
      </c>
      <c r="H80" s="17">
        <v>1</v>
      </c>
      <c r="I80" s="20">
        <v>2</v>
      </c>
      <c r="J80" s="21">
        <v>36</v>
      </c>
      <c r="K80" s="22">
        <v>0.5</v>
      </c>
      <c r="L80" s="23">
        <v>1</v>
      </c>
      <c r="M80" s="24" t="str">
        <f>IF(MAX(0,ROUNDUP(F80*2-I80,0))=0,"",MAX(0,ROUNDUP(F80*2-I80,0)))</f>
        <v/>
      </c>
    </row>
    <row r="81" spans="1:13" x14ac:dyDescent="0.25">
      <c r="A81" s="16" t="s">
        <v>167</v>
      </c>
      <c r="B81" s="16" t="s">
        <v>168</v>
      </c>
      <c r="C81" s="17" t="s">
        <v>1</v>
      </c>
      <c r="D81" s="17">
        <v>2</v>
      </c>
      <c r="E81" s="18">
        <v>1</v>
      </c>
      <c r="F81" s="17">
        <v>1</v>
      </c>
      <c r="G81" s="19" t="s">
        <v>1</v>
      </c>
      <c r="H81" s="17">
        <v>1</v>
      </c>
      <c r="I81" s="20">
        <v>2</v>
      </c>
      <c r="J81" s="21">
        <v>36</v>
      </c>
      <c r="K81" s="22">
        <v>0.5</v>
      </c>
      <c r="L81" s="23">
        <v>1</v>
      </c>
      <c r="M81" s="24" t="str">
        <f>IF(MAX(0,ROUNDUP(F81*2-I81,0))=0,"",MAX(0,ROUNDUP(F81*2-I81,0)))</f>
        <v/>
      </c>
    </row>
    <row r="82" spans="1:13" x14ac:dyDescent="0.25">
      <c r="A82" s="16" t="s">
        <v>169</v>
      </c>
      <c r="B82" s="16" t="s">
        <v>170</v>
      </c>
      <c r="C82" s="17">
        <v>1</v>
      </c>
      <c r="D82" s="17" t="s">
        <v>1</v>
      </c>
      <c r="E82" s="18">
        <v>1</v>
      </c>
      <c r="F82" s="17">
        <v>1</v>
      </c>
      <c r="G82" s="19" t="s">
        <v>1</v>
      </c>
      <c r="H82" s="17" t="s">
        <v>1</v>
      </c>
      <c r="I82" s="20">
        <v>1</v>
      </c>
      <c r="J82" s="21">
        <v>18</v>
      </c>
      <c r="K82" s="22">
        <v>1</v>
      </c>
      <c r="L82" s="23">
        <v>1</v>
      </c>
      <c r="M82" s="24">
        <f>IF(MAX(0,ROUNDUP(F82*2-I82,0))=0,"",MAX(0,ROUNDUP(F82*2-I82,0)))</f>
        <v>1</v>
      </c>
    </row>
    <row r="83" spans="1:13" x14ac:dyDescent="0.25">
      <c r="A83" s="16" t="s">
        <v>171</v>
      </c>
      <c r="B83" s="16" t="s">
        <v>172</v>
      </c>
      <c r="C83" s="17">
        <v>1</v>
      </c>
      <c r="D83" s="17" t="s">
        <v>1</v>
      </c>
      <c r="E83" s="18">
        <v>1</v>
      </c>
      <c r="F83" s="17">
        <v>1</v>
      </c>
      <c r="G83" s="19" t="s">
        <v>1</v>
      </c>
      <c r="H83" s="17" t="s">
        <v>1</v>
      </c>
      <c r="I83" s="20">
        <v>1</v>
      </c>
      <c r="J83" s="21">
        <v>18</v>
      </c>
      <c r="K83" s="22">
        <v>1</v>
      </c>
      <c r="L83" s="23">
        <v>1</v>
      </c>
      <c r="M83" s="24">
        <f>IF(MAX(0,ROUNDUP(F83*2-I83,0))=0,"",MAX(0,ROUNDUP(F83*2-I83,0)))</f>
        <v>1</v>
      </c>
    </row>
    <row r="84" spans="1:13" x14ac:dyDescent="0.25">
      <c r="A84" s="16" t="s">
        <v>173</v>
      </c>
      <c r="B84" s="16" t="s">
        <v>174</v>
      </c>
      <c r="C84" s="17">
        <v>1</v>
      </c>
      <c r="D84" s="17" t="s">
        <v>1</v>
      </c>
      <c r="E84" s="18">
        <v>1</v>
      </c>
      <c r="F84" s="17">
        <v>1</v>
      </c>
      <c r="G84" s="19" t="s">
        <v>1</v>
      </c>
      <c r="H84" s="17" t="s">
        <v>1</v>
      </c>
      <c r="I84" s="20">
        <v>1</v>
      </c>
      <c r="J84" s="21">
        <v>18</v>
      </c>
      <c r="K84" s="22">
        <v>1</v>
      </c>
      <c r="L84" s="23">
        <v>1</v>
      </c>
      <c r="M84" s="24">
        <f>IF(MAX(0,ROUNDUP(F84*2-I84,0))=0,"",MAX(0,ROUNDUP(F84*2-I84,0)))</f>
        <v>1</v>
      </c>
    </row>
    <row r="85" spans="1:13" x14ac:dyDescent="0.25">
      <c r="A85" s="16" t="s">
        <v>175</v>
      </c>
      <c r="B85" s="16" t="s">
        <v>176</v>
      </c>
      <c r="C85" s="17">
        <v>1</v>
      </c>
      <c r="D85" s="17" t="s">
        <v>1</v>
      </c>
      <c r="E85" s="18">
        <v>1</v>
      </c>
      <c r="F85" s="17">
        <v>1</v>
      </c>
      <c r="G85" s="19" t="s">
        <v>1</v>
      </c>
      <c r="H85" s="17" t="s">
        <v>1</v>
      </c>
      <c r="I85" s="20">
        <v>1</v>
      </c>
      <c r="J85" s="21">
        <v>18</v>
      </c>
      <c r="K85" s="22">
        <v>1</v>
      </c>
      <c r="L85" s="23">
        <v>1</v>
      </c>
      <c r="M85" s="24">
        <f>IF(MAX(0,ROUNDUP(F85*2-I85,0))=0,"",MAX(0,ROUNDUP(F85*2-I85,0)))</f>
        <v>1</v>
      </c>
    </row>
    <row r="86" spans="1:13" x14ac:dyDescent="0.25">
      <c r="A86" s="16" t="s">
        <v>177</v>
      </c>
      <c r="B86" s="16" t="s">
        <v>178</v>
      </c>
      <c r="C86" s="17" t="s">
        <v>1</v>
      </c>
      <c r="D86" s="17">
        <v>1</v>
      </c>
      <c r="E86" s="18">
        <v>1</v>
      </c>
      <c r="F86" s="17">
        <v>1</v>
      </c>
      <c r="G86" s="19" t="s">
        <v>1</v>
      </c>
      <c r="H86" s="17" t="s">
        <v>1</v>
      </c>
      <c r="I86" s="20">
        <v>1</v>
      </c>
      <c r="J86" s="21">
        <v>18</v>
      </c>
      <c r="K86" s="22">
        <v>1</v>
      </c>
      <c r="L86" s="23">
        <v>1</v>
      </c>
      <c r="M86" s="24">
        <f>IF(MAX(0,ROUNDUP(F86*2-I86,0))=0,"",MAX(0,ROUNDUP(F86*2-I86,0)))</f>
        <v>1</v>
      </c>
    </row>
    <row r="87" spans="1:13" x14ac:dyDescent="0.25">
      <c r="A87" s="16" t="s">
        <v>179</v>
      </c>
      <c r="B87" s="16" t="s">
        <v>180</v>
      </c>
      <c r="C87" s="17">
        <v>1</v>
      </c>
      <c r="D87" s="17">
        <v>1</v>
      </c>
      <c r="E87" s="18">
        <v>1</v>
      </c>
      <c r="F87" s="17">
        <v>1</v>
      </c>
      <c r="G87" s="19" t="s">
        <v>1</v>
      </c>
      <c r="H87" s="17">
        <v>1</v>
      </c>
      <c r="I87" s="20">
        <v>2</v>
      </c>
      <c r="J87" s="21">
        <v>36</v>
      </c>
      <c r="K87" s="22">
        <v>0.5</v>
      </c>
      <c r="L87" s="23" t="s">
        <v>1</v>
      </c>
      <c r="M87" s="24" t="str">
        <f>IF(MAX(0,ROUNDUP(F87*2-I87,0))=0,"",MAX(0,ROUNDUP(F87*2-I87,0)))</f>
        <v/>
      </c>
    </row>
    <row r="88" spans="1:13" x14ac:dyDescent="0.25">
      <c r="A88" s="16" t="s">
        <v>181</v>
      </c>
      <c r="B88" s="16" t="s">
        <v>182</v>
      </c>
      <c r="C88" s="17">
        <v>1</v>
      </c>
      <c r="D88" s="17" t="s">
        <v>1</v>
      </c>
      <c r="E88" s="18">
        <v>1</v>
      </c>
      <c r="F88" s="17">
        <v>1</v>
      </c>
      <c r="G88" s="19" t="s">
        <v>1</v>
      </c>
      <c r="H88" s="17" t="s">
        <v>1</v>
      </c>
      <c r="I88" s="20">
        <v>1</v>
      </c>
      <c r="J88" s="21">
        <v>18</v>
      </c>
      <c r="K88" s="22">
        <v>1</v>
      </c>
      <c r="L88" s="23">
        <v>1</v>
      </c>
      <c r="M88" s="24">
        <f>IF(MAX(0,ROUNDUP(F88*2-I88,0))=0,"",MAX(0,ROUNDUP(F88*2-I88,0)))</f>
        <v>1</v>
      </c>
    </row>
    <row r="89" spans="1:13" x14ac:dyDescent="0.25">
      <c r="A89" s="16" t="s">
        <v>183</v>
      </c>
      <c r="B89" s="16" t="s">
        <v>184</v>
      </c>
      <c r="C89" s="17">
        <v>1</v>
      </c>
      <c r="D89" s="17" t="s">
        <v>1</v>
      </c>
      <c r="E89" s="18">
        <v>1</v>
      </c>
      <c r="F89" s="17">
        <v>1</v>
      </c>
      <c r="G89" s="19" t="s">
        <v>1</v>
      </c>
      <c r="H89" s="17" t="s">
        <v>1</v>
      </c>
      <c r="I89" s="20">
        <v>1</v>
      </c>
      <c r="J89" s="21">
        <v>18</v>
      </c>
      <c r="K89" s="22">
        <v>1</v>
      </c>
      <c r="L89" s="23">
        <v>1</v>
      </c>
      <c r="M89" s="24">
        <f>IF(MAX(0,ROUNDUP(F89*2-I89,0))=0,"",MAX(0,ROUNDUP(F89*2-I89,0)))</f>
        <v>1</v>
      </c>
    </row>
    <row r="90" spans="1:13" x14ac:dyDescent="0.25">
      <c r="A90" s="16" t="s">
        <v>185</v>
      </c>
      <c r="B90" s="16" t="s">
        <v>186</v>
      </c>
      <c r="C90" s="17">
        <v>1</v>
      </c>
      <c r="D90" s="17" t="s">
        <v>1</v>
      </c>
      <c r="E90" s="18">
        <v>1</v>
      </c>
      <c r="F90" s="17">
        <v>1</v>
      </c>
      <c r="G90" s="19" t="s">
        <v>1</v>
      </c>
      <c r="H90" s="17" t="s">
        <v>1</v>
      </c>
      <c r="I90" s="20">
        <v>1</v>
      </c>
      <c r="J90" s="21">
        <v>18</v>
      </c>
      <c r="K90" s="22">
        <v>1</v>
      </c>
      <c r="L90" s="23">
        <v>1</v>
      </c>
      <c r="M90" s="24">
        <f>IF(MAX(0,ROUNDUP(F90*2-I90,0))=0,"",MAX(0,ROUNDUP(F90*2-I90,0)))</f>
        <v>1</v>
      </c>
    </row>
    <row r="91" spans="1:13" x14ac:dyDescent="0.25">
      <c r="A91" s="16" t="s">
        <v>187</v>
      </c>
      <c r="B91" s="16" t="s">
        <v>188</v>
      </c>
      <c r="C91" s="17">
        <v>1</v>
      </c>
      <c r="D91" s="17" t="s">
        <v>1</v>
      </c>
      <c r="E91" s="18">
        <v>1</v>
      </c>
      <c r="F91" s="17">
        <v>1</v>
      </c>
      <c r="G91" s="19" t="s">
        <v>1</v>
      </c>
      <c r="H91" s="17" t="s">
        <v>1</v>
      </c>
      <c r="I91" s="20">
        <v>1</v>
      </c>
      <c r="J91" s="21">
        <v>18</v>
      </c>
      <c r="K91" s="22">
        <v>1</v>
      </c>
      <c r="L91" s="23">
        <v>1</v>
      </c>
      <c r="M91" s="24">
        <f>IF(MAX(0,ROUNDUP(F91*2-I91,0))=0,"",MAX(0,ROUNDUP(F91*2-I91,0)))</f>
        <v>1</v>
      </c>
    </row>
    <row r="92" spans="1:13" x14ac:dyDescent="0.25">
      <c r="A92" s="16" t="s">
        <v>189</v>
      </c>
      <c r="B92" s="16" t="s">
        <v>190</v>
      </c>
      <c r="C92" s="17">
        <v>1</v>
      </c>
      <c r="D92" s="17" t="s">
        <v>1</v>
      </c>
      <c r="E92" s="18">
        <v>1</v>
      </c>
      <c r="F92" s="17">
        <v>1</v>
      </c>
      <c r="G92" s="19" t="s">
        <v>1</v>
      </c>
      <c r="H92" s="17" t="s">
        <v>1</v>
      </c>
      <c r="I92" s="20">
        <v>1</v>
      </c>
      <c r="J92" s="21">
        <v>18</v>
      </c>
      <c r="K92" s="22">
        <v>1</v>
      </c>
      <c r="L92" s="23">
        <v>1</v>
      </c>
      <c r="M92" s="24">
        <f>IF(MAX(0,ROUNDUP(F92*2-I92,0))=0,"",MAX(0,ROUNDUP(F92*2-I92,0)))</f>
        <v>1</v>
      </c>
    </row>
    <row r="93" spans="1:13" x14ac:dyDescent="0.25">
      <c r="A93" s="16" t="s">
        <v>191</v>
      </c>
      <c r="B93" s="16" t="s">
        <v>192</v>
      </c>
      <c r="C93" s="17">
        <v>1</v>
      </c>
      <c r="D93" s="17" t="s">
        <v>1</v>
      </c>
      <c r="E93" s="18">
        <v>1</v>
      </c>
      <c r="F93" s="17">
        <v>1</v>
      </c>
      <c r="G93" s="19" t="s">
        <v>1</v>
      </c>
      <c r="H93" s="17" t="s">
        <v>1</v>
      </c>
      <c r="I93" s="20">
        <v>1</v>
      </c>
      <c r="J93" s="21">
        <v>18</v>
      </c>
      <c r="K93" s="22">
        <v>1</v>
      </c>
      <c r="L93" s="23">
        <v>1</v>
      </c>
      <c r="M93" s="24">
        <f>IF(MAX(0,ROUNDUP(F93*2-I93,0))=0,"",MAX(0,ROUNDUP(F93*2-I93,0)))</f>
        <v>1</v>
      </c>
    </row>
    <row r="94" spans="1:13" x14ac:dyDescent="0.25">
      <c r="A94" s="16" t="s">
        <v>193</v>
      </c>
      <c r="B94" s="16" t="s">
        <v>194</v>
      </c>
      <c r="C94" s="17">
        <v>1</v>
      </c>
      <c r="D94" s="17" t="s">
        <v>1</v>
      </c>
      <c r="E94" s="18">
        <v>1</v>
      </c>
      <c r="F94" s="17">
        <v>1</v>
      </c>
      <c r="G94" s="19" t="s">
        <v>1</v>
      </c>
      <c r="H94" s="17" t="s">
        <v>1</v>
      </c>
      <c r="I94" s="20">
        <v>1</v>
      </c>
      <c r="J94" s="21">
        <v>18</v>
      </c>
      <c r="K94" s="22">
        <v>1</v>
      </c>
      <c r="L94" s="23">
        <v>1</v>
      </c>
      <c r="M94" s="24">
        <f>IF(MAX(0,ROUNDUP(F94*2-I94,0))=0,"",MAX(0,ROUNDUP(F94*2-I94,0)))</f>
        <v>1</v>
      </c>
    </row>
    <row r="95" spans="1:13" x14ac:dyDescent="0.25">
      <c r="A95" s="16" t="s">
        <v>195</v>
      </c>
      <c r="B95" s="16" t="s">
        <v>196</v>
      </c>
      <c r="C95" s="17">
        <v>1</v>
      </c>
      <c r="D95" s="17" t="s">
        <v>1</v>
      </c>
      <c r="E95" s="18">
        <v>1</v>
      </c>
      <c r="F95" s="17">
        <v>1</v>
      </c>
      <c r="G95" s="19" t="s">
        <v>1</v>
      </c>
      <c r="H95" s="17" t="s">
        <v>1</v>
      </c>
      <c r="I95" s="20">
        <v>1</v>
      </c>
      <c r="J95" s="21">
        <v>18</v>
      </c>
      <c r="K95" s="22">
        <v>1</v>
      </c>
      <c r="L95" s="23">
        <v>1</v>
      </c>
      <c r="M95" s="24">
        <f>IF(MAX(0,ROUNDUP(F95*2-I95,0))=0,"",MAX(0,ROUNDUP(F95*2-I95,0)))</f>
        <v>1</v>
      </c>
    </row>
    <row r="96" spans="1:13" x14ac:dyDescent="0.25">
      <c r="A96" s="16" t="s">
        <v>197</v>
      </c>
      <c r="B96" s="16" t="s">
        <v>198</v>
      </c>
      <c r="C96" s="17">
        <v>1</v>
      </c>
      <c r="D96" s="17" t="s">
        <v>1</v>
      </c>
      <c r="E96" s="18">
        <v>1</v>
      </c>
      <c r="F96" s="17">
        <v>1</v>
      </c>
      <c r="G96" s="19" t="s">
        <v>1</v>
      </c>
      <c r="H96" s="17" t="s">
        <v>1</v>
      </c>
      <c r="I96" s="20">
        <v>1</v>
      </c>
      <c r="J96" s="21">
        <v>18</v>
      </c>
      <c r="K96" s="22">
        <v>1</v>
      </c>
      <c r="L96" s="23">
        <v>1</v>
      </c>
      <c r="M96" s="24">
        <f>IF(MAX(0,ROUNDUP(F96*2-I96,0))=0,"",MAX(0,ROUNDUP(F96*2-I96,0)))</f>
        <v>1</v>
      </c>
    </row>
    <row r="97" spans="1:13" x14ac:dyDescent="0.25">
      <c r="A97" s="16" t="s">
        <v>199</v>
      </c>
      <c r="B97" s="16" t="s">
        <v>200</v>
      </c>
      <c r="C97" s="17" t="s">
        <v>1</v>
      </c>
      <c r="D97" s="17">
        <v>1</v>
      </c>
      <c r="E97" s="18">
        <v>1</v>
      </c>
      <c r="F97" s="17">
        <v>1</v>
      </c>
      <c r="G97" s="19" t="s">
        <v>1</v>
      </c>
      <c r="H97" s="17" t="s">
        <v>1</v>
      </c>
      <c r="I97" s="20">
        <v>1</v>
      </c>
      <c r="J97" s="21">
        <v>18</v>
      </c>
      <c r="K97" s="22">
        <v>1</v>
      </c>
      <c r="L97" s="23">
        <v>2</v>
      </c>
      <c r="M97" s="24">
        <f>IF(MAX(0,ROUNDUP(F97*2-I97,0))=0,"",MAX(0,ROUNDUP(F97*2-I97,0)))</f>
        <v>1</v>
      </c>
    </row>
    <row r="98" spans="1:13" x14ac:dyDescent="0.25">
      <c r="A98" s="16" t="s">
        <v>201</v>
      </c>
      <c r="B98" s="16" t="s">
        <v>202</v>
      </c>
      <c r="C98" s="17">
        <v>2</v>
      </c>
      <c r="D98" s="17" t="s">
        <v>1</v>
      </c>
      <c r="E98" s="18">
        <v>1</v>
      </c>
      <c r="F98" s="17">
        <v>1</v>
      </c>
      <c r="G98" s="19" t="s">
        <v>1</v>
      </c>
      <c r="H98" s="17">
        <v>1</v>
      </c>
      <c r="I98" s="20">
        <v>2</v>
      </c>
      <c r="J98" s="21">
        <v>36</v>
      </c>
      <c r="K98" s="22">
        <v>0.5</v>
      </c>
      <c r="L98" s="23">
        <v>1</v>
      </c>
      <c r="M98" s="24" t="str">
        <f>IF(MAX(0,ROUNDUP(F98*2-I98,0))=0,"",MAX(0,ROUNDUP(F98*2-I98,0)))</f>
        <v/>
      </c>
    </row>
    <row r="99" spans="1:13" x14ac:dyDescent="0.25">
      <c r="A99" s="16" t="s">
        <v>203</v>
      </c>
      <c r="B99" s="16" t="s">
        <v>204</v>
      </c>
      <c r="C99" s="17">
        <v>1</v>
      </c>
      <c r="D99" s="17" t="s">
        <v>1</v>
      </c>
      <c r="E99" s="18">
        <v>1</v>
      </c>
      <c r="F99" s="17">
        <v>1</v>
      </c>
      <c r="G99" s="19" t="s">
        <v>1</v>
      </c>
      <c r="H99" s="17" t="s">
        <v>1</v>
      </c>
      <c r="I99" s="20">
        <v>1</v>
      </c>
      <c r="J99" s="21">
        <v>18</v>
      </c>
      <c r="K99" s="22">
        <v>1</v>
      </c>
      <c r="L99" s="23">
        <v>1</v>
      </c>
      <c r="M99" s="24">
        <f>IF(MAX(0,ROUNDUP(F99*2-I99,0))=0,"",MAX(0,ROUNDUP(F99*2-I99,0)))</f>
        <v>1</v>
      </c>
    </row>
    <row r="100" spans="1:13" x14ac:dyDescent="0.25">
      <c r="A100" s="16" t="s">
        <v>205</v>
      </c>
      <c r="B100" s="16" t="s">
        <v>206</v>
      </c>
      <c r="C100" s="17">
        <v>1</v>
      </c>
      <c r="D100" s="17">
        <v>1</v>
      </c>
      <c r="E100" s="18">
        <v>1</v>
      </c>
      <c r="F100" s="17">
        <v>1</v>
      </c>
      <c r="G100" s="19" t="s">
        <v>1</v>
      </c>
      <c r="H100" s="17">
        <v>1</v>
      </c>
      <c r="I100" s="20">
        <v>2</v>
      </c>
      <c r="J100" s="21">
        <v>36</v>
      </c>
      <c r="K100" s="22">
        <v>0.5</v>
      </c>
      <c r="L100" s="23" t="s">
        <v>1</v>
      </c>
      <c r="M100" s="24" t="str">
        <f>IF(MAX(0,ROUNDUP(F100*2-I100,0))=0,"",MAX(0,ROUNDUP(F100*2-I100,0)))</f>
        <v/>
      </c>
    </row>
    <row r="101" spans="1:13" x14ac:dyDescent="0.25">
      <c r="A101" s="16" t="s">
        <v>207</v>
      </c>
      <c r="B101" s="16" t="s">
        <v>208</v>
      </c>
      <c r="C101" s="17">
        <v>1</v>
      </c>
      <c r="D101" s="17" t="s">
        <v>1</v>
      </c>
      <c r="E101" s="18">
        <v>1</v>
      </c>
      <c r="F101" s="17">
        <v>1</v>
      </c>
      <c r="G101" s="19" t="s">
        <v>1</v>
      </c>
      <c r="H101" s="17" t="s">
        <v>1</v>
      </c>
      <c r="I101" s="20">
        <v>1</v>
      </c>
      <c r="J101" s="21">
        <v>18</v>
      </c>
      <c r="K101" s="22">
        <v>1</v>
      </c>
      <c r="L101" s="23">
        <v>1</v>
      </c>
      <c r="M101" s="24">
        <f>IF(MAX(0,ROUNDUP(F101*2-I101,0))=0,"",MAX(0,ROUNDUP(F101*2-I101,0)))</f>
        <v>1</v>
      </c>
    </row>
    <row r="102" spans="1:13" x14ac:dyDescent="0.25">
      <c r="A102" s="16" t="s">
        <v>209</v>
      </c>
      <c r="B102" s="16" t="s">
        <v>210</v>
      </c>
      <c r="C102" s="17">
        <v>1</v>
      </c>
      <c r="D102" s="17" t="s">
        <v>1</v>
      </c>
      <c r="E102" s="18">
        <v>1</v>
      </c>
      <c r="F102" s="17">
        <v>1</v>
      </c>
      <c r="G102" s="19" t="s">
        <v>1</v>
      </c>
      <c r="H102" s="17" t="s">
        <v>1</v>
      </c>
      <c r="I102" s="20">
        <v>1</v>
      </c>
      <c r="J102" s="21">
        <v>18</v>
      </c>
      <c r="K102" s="22">
        <v>1</v>
      </c>
      <c r="L102" s="23" t="s">
        <v>1</v>
      </c>
      <c r="M102" s="24">
        <f>IF(MAX(0,ROUNDUP(F102*2-I102,0))=0,"",MAX(0,ROUNDUP(F102*2-I102,0)))</f>
        <v>1</v>
      </c>
    </row>
    <row r="103" spans="1:13" x14ac:dyDescent="0.25">
      <c r="A103" s="16" t="s">
        <v>211</v>
      </c>
      <c r="B103" s="16" t="s">
        <v>212</v>
      </c>
      <c r="C103" s="17">
        <v>1</v>
      </c>
      <c r="D103" s="17">
        <v>1</v>
      </c>
      <c r="E103" s="18">
        <v>1</v>
      </c>
      <c r="F103" s="17">
        <v>1</v>
      </c>
      <c r="G103" s="19" t="s">
        <v>1</v>
      </c>
      <c r="H103" s="17">
        <v>1</v>
      </c>
      <c r="I103" s="20">
        <v>2</v>
      </c>
      <c r="J103" s="21">
        <v>36</v>
      </c>
      <c r="K103" s="22">
        <v>0.5</v>
      </c>
      <c r="L103" s="23" t="s">
        <v>1</v>
      </c>
      <c r="M103" s="24" t="str">
        <f>IF(MAX(0,ROUNDUP(F103*2-I103,0))=0,"",MAX(0,ROUNDUP(F103*2-I103,0)))</f>
        <v/>
      </c>
    </row>
    <row r="104" spans="1:13" x14ac:dyDescent="0.25">
      <c r="A104" s="16" t="s">
        <v>9</v>
      </c>
      <c r="B104" s="16" t="s">
        <v>10</v>
      </c>
      <c r="C104" s="17">
        <v>6</v>
      </c>
      <c r="D104" s="17" t="s">
        <v>1</v>
      </c>
      <c r="E104" s="18">
        <v>5</v>
      </c>
      <c r="F104" s="17">
        <v>5</v>
      </c>
      <c r="G104" s="19" t="s">
        <v>1</v>
      </c>
      <c r="H104" s="17">
        <v>1</v>
      </c>
      <c r="I104" s="20">
        <v>1.2</v>
      </c>
      <c r="J104" s="21">
        <v>21.6</v>
      </c>
      <c r="K104" s="22">
        <v>0.8333333333333334</v>
      </c>
      <c r="L104" s="23">
        <v>10</v>
      </c>
      <c r="M104" s="24">
        <f>IF(MAX(0,ROUNDUP(F104*2-I104,0))=0,"",MAX(0,ROUNDUP(F104*2-I104,0)))</f>
        <v>9</v>
      </c>
    </row>
    <row r="105" spans="1:13" x14ac:dyDescent="0.25">
      <c r="A105" s="16" t="s">
        <v>213</v>
      </c>
      <c r="B105" s="16" t="s">
        <v>214</v>
      </c>
      <c r="C105" s="17">
        <v>1</v>
      </c>
      <c r="D105" s="17" t="s">
        <v>1</v>
      </c>
      <c r="E105" s="18">
        <v>1</v>
      </c>
      <c r="F105" s="17">
        <v>1</v>
      </c>
      <c r="G105" s="19" t="s">
        <v>1</v>
      </c>
      <c r="H105" s="17" t="s">
        <v>1</v>
      </c>
      <c r="I105" s="20">
        <v>1</v>
      </c>
      <c r="J105" s="21">
        <v>18</v>
      </c>
      <c r="K105" s="22">
        <v>1</v>
      </c>
      <c r="L105" s="23">
        <v>1</v>
      </c>
      <c r="M105" s="24">
        <f>IF(MAX(0,ROUNDUP(F105*2-I105,0))=0,"",MAX(0,ROUNDUP(F105*2-I105,0)))</f>
        <v>1</v>
      </c>
    </row>
    <row r="106" spans="1:13" x14ac:dyDescent="0.25">
      <c r="A106" s="16" t="s">
        <v>215</v>
      </c>
      <c r="B106" s="16" t="s">
        <v>216</v>
      </c>
      <c r="C106" s="17">
        <v>1</v>
      </c>
      <c r="D106" s="17" t="s">
        <v>1</v>
      </c>
      <c r="E106" s="18">
        <v>1</v>
      </c>
      <c r="F106" s="17">
        <v>1</v>
      </c>
      <c r="G106" s="19" t="s">
        <v>1</v>
      </c>
      <c r="H106" s="17" t="s">
        <v>1</v>
      </c>
      <c r="I106" s="20">
        <v>1</v>
      </c>
      <c r="J106" s="21">
        <v>18</v>
      </c>
      <c r="K106" s="22">
        <v>1</v>
      </c>
      <c r="L106" s="23">
        <v>1</v>
      </c>
      <c r="M106" s="24">
        <f>IF(MAX(0,ROUNDUP(F106*2-I106,0))=0,"",MAX(0,ROUNDUP(F106*2-I106,0)))</f>
        <v>1</v>
      </c>
    </row>
    <row r="107" spans="1:13" x14ac:dyDescent="0.25">
      <c r="A107" s="16" t="s">
        <v>217</v>
      </c>
      <c r="B107" s="16" t="s">
        <v>218</v>
      </c>
      <c r="C107" s="17">
        <v>1</v>
      </c>
      <c r="D107" s="17" t="s">
        <v>1</v>
      </c>
      <c r="E107" s="18">
        <v>1</v>
      </c>
      <c r="F107" s="17">
        <v>1</v>
      </c>
      <c r="G107" s="19" t="s">
        <v>1</v>
      </c>
      <c r="H107" s="17" t="s">
        <v>1</v>
      </c>
      <c r="I107" s="20">
        <v>1</v>
      </c>
      <c r="J107" s="21">
        <v>18</v>
      </c>
      <c r="K107" s="22">
        <v>1</v>
      </c>
      <c r="L107" s="23">
        <v>1</v>
      </c>
      <c r="M107" s="24">
        <f>IF(MAX(0,ROUNDUP(F107*2-I107,0))=0,"",MAX(0,ROUNDUP(F107*2-I107,0)))</f>
        <v>1</v>
      </c>
    </row>
    <row r="108" spans="1:13" x14ac:dyDescent="0.25">
      <c r="A108" s="16" t="s">
        <v>219</v>
      </c>
      <c r="B108" s="16" t="s">
        <v>220</v>
      </c>
      <c r="C108" s="17">
        <v>1</v>
      </c>
      <c r="D108" s="17" t="s">
        <v>1</v>
      </c>
      <c r="E108" s="18">
        <v>1</v>
      </c>
      <c r="F108" s="17">
        <v>1</v>
      </c>
      <c r="G108" s="19" t="s">
        <v>1</v>
      </c>
      <c r="H108" s="17" t="s">
        <v>1</v>
      </c>
      <c r="I108" s="20">
        <v>1</v>
      </c>
      <c r="J108" s="21">
        <v>18</v>
      </c>
      <c r="K108" s="22">
        <v>1</v>
      </c>
      <c r="L108" s="23">
        <v>1</v>
      </c>
      <c r="M108" s="24">
        <f>IF(MAX(0,ROUNDUP(F108*2-I108,0))=0,"",MAX(0,ROUNDUP(F108*2-I108,0)))</f>
        <v>1</v>
      </c>
    </row>
    <row r="109" spans="1:13" x14ac:dyDescent="0.25">
      <c r="A109" s="16" t="s">
        <v>221</v>
      </c>
      <c r="B109" s="16" t="s">
        <v>222</v>
      </c>
      <c r="C109" s="17">
        <v>3</v>
      </c>
      <c r="D109" s="17" t="s">
        <v>1</v>
      </c>
      <c r="E109" s="18">
        <v>2</v>
      </c>
      <c r="F109" s="17">
        <v>2</v>
      </c>
      <c r="G109" s="19" t="s">
        <v>1</v>
      </c>
      <c r="H109" s="17">
        <v>1</v>
      </c>
      <c r="I109" s="20">
        <v>1.5</v>
      </c>
      <c r="J109" s="21">
        <v>27</v>
      </c>
      <c r="K109" s="22">
        <v>0.6666666666666666</v>
      </c>
      <c r="L109" s="23">
        <v>4</v>
      </c>
      <c r="M109" s="24">
        <f>IF(MAX(0,ROUNDUP(F109*2-I109,0))=0,"",MAX(0,ROUNDUP(F109*2-I109,0)))</f>
        <v>3</v>
      </c>
    </row>
    <row r="110" spans="1:13" x14ac:dyDescent="0.25">
      <c r="A110" s="16" t="s">
        <v>223</v>
      </c>
      <c r="B110" s="16" t="s">
        <v>224</v>
      </c>
      <c r="C110" s="17">
        <v>5</v>
      </c>
      <c r="D110" s="17" t="s">
        <v>1</v>
      </c>
      <c r="E110" s="18">
        <v>2</v>
      </c>
      <c r="F110" s="17">
        <v>2</v>
      </c>
      <c r="G110" s="19" t="s">
        <v>1</v>
      </c>
      <c r="H110" s="17">
        <v>3</v>
      </c>
      <c r="I110" s="20">
        <v>2.5</v>
      </c>
      <c r="J110" s="21">
        <v>45</v>
      </c>
      <c r="K110" s="22">
        <v>0.4</v>
      </c>
      <c r="L110" s="23">
        <v>1</v>
      </c>
      <c r="M110" s="24">
        <f>IF(MAX(0,ROUNDUP(F110*2-I110,0))=0,"",MAX(0,ROUNDUP(F110*2-I110,0)))</f>
        <v>2</v>
      </c>
    </row>
    <row r="111" spans="1:13" x14ac:dyDescent="0.25">
      <c r="A111" s="16" t="s">
        <v>225</v>
      </c>
      <c r="B111" s="16" t="s">
        <v>226</v>
      </c>
      <c r="C111" s="17">
        <v>1</v>
      </c>
      <c r="D111" s="17" t="s">
        <v>1</v>
      </c>
      <c r="E111" s="18">
        <v>1</v>
      </c>
      <c r="F111" s="17">
        <v>1</v>
      </c>
      <c r="G111" s="19" t="s">
        <v>1</v>
      </c>
      <c r="H111" s="17" t="s">
        <v>1</v>
      </c>
      <c r="I111" s="20">
        <v>1</v>
      </c>
      <c r="J111" s="21">
        <v>18</v>
      </c>
      <c r="K111" s="22">
        <v>1</v>
      </c>
      <c r="L111" s="23">
        <v>1</v>
      </c>
      <c r="M111" s="24">
        <f>IF(MAX(0,ROUNDUP(F111*2-I111,0))=0,"",MAX(0,ROUNDUP(F111*2-I111,0)))</f>
        <v>1</v>
      </c>
    </row>
    <row r="112" spans="1:13" x14ac:dyDescent="0.25">
      <c r="A112" s="16" t="s">
        <v>227</v>
      </c>
      <c r="B112" s="16" t="s">
        <v>228</v>
      </c>
      <c r="C112" s="17">
        <v>1</v>
      </c>
      <c r="D112" s="17" t="s">
        <v>1</v>
      </c>
      <c r="E112" s="18">
        <v>1</v>
      </c>
      <c r="F112" s="17">
        <v>1</v>
      </c>
      <c r="G112" s="19" t="s">
        <v>1</v>
      </c>
      <c r="H112" s="17" t="s">
        <v>1</v>
      </c>
      <c r="I112" s="20">
        <v>1</v>
      </c>
      <c r="J112" s="21">
        <v>18</v>
      </c>
      <c r="K112" s="22">
        <v>1</v>
      </c>
      <c r="L112" s="23">
        <v>1</v>
      </c>
      <c r="M112" s="24">
        <f>IF(MAX(0,ROUNDUP(F112*2-I112,0))=0,"",MAX(0,ROUNDUP(F112*2-I112,0)))</f>
        <v>1</v>
      </c>
    </row>
    <row r="113" spans="1:13" x14ac:dyDescent="0.25">
      <c r="A113" s="16" t="s">
        <v>229</v>
      </c>
      <c r="B113" s="16" t="s">
        <v>230</v>
      </c>
      <c r="C113" s="17">
        <v>1</v>
      </c>
      <c r="D113" s="17" t="s">
        <v>1</v>
      </c>
      <c r="E113" s="18">
        <v>1</v>
      </c>
      <c r="F113" s="17">
        <v>1</v>
      </c>
      <c r="G113" s="19" t="s">
        <v>1</v>
      </c>
      <c r="H113" s="17" t="s">
        <v>1</v>
      </c>
      <c r="I113" s="20">
        <v>1</v>
      </c>
      <c r="J113" s="21">
        <v>18</v>
      </c>
      <c r="K113" s="22">
        <v>1</v>
      </c>
      <c r="L113" s="23">
        <v>2</v>
      </c>
      <c r="M113" s="24">
        <f>IF(MAX(0,ROUNDUP(F113*2-I113,0))=0,"",MAX(0,ROUNDUP(F113*2-I113,0)))</f>
        <v>1</v>
      </c>
    </row>
    <row r="114" spans="1:13" x14ac:dyDescent="0.25">
      <c r="A114" s="16" t="s">
        <v>231</v>
      </c>
      <c r="B114" s="16" t="s">
        <v>232</v>
      </c>
      <c r="C114" s="17">
        <v>1</v>
      </c>
      <c r="D114" s="17" t="s">
        <v>1</v>
      </c>
      <c r="E114" s="18">
        <v>1</v>
      </c>
      <c r="F114" s="17">
        <v>1</v>
      </c>
      <c r="G114" s="19" t="s">
        <v>1</v>
      </c>
      <c r="H114" s="17" t="s">
        <v>1</v>
      </c>
      <c r="I114" s="20">
        <v>1</v>
      </c>
      <c r="J114" s="21">
        <v>18</v>
      </c>
      <c r="K114" s="22">
        <v>1</v>
      </c>
      <c r="L114" s="23">
        <v>1</v>
      </c>
      <c r="M114" s="24">
        <f>IF(MAX(0,ROUNDUP(F114*2-I114,0))=0,"",MAX(0,ROUNDUP(F114*2-I114,0)))</f>
        <v>1</v>
      </c>
    </row>
    <row r="115" spans="1:13" x14ac:dyDescent="0.25">
      <c r="A115" s="16" t="s">
        <v>233</v>
      </c>
      <c r="B115" s="16" t="s">
        <v>234</v>
      </c>
      <c r="C115" s="17">
        <v>20</v>
      </c>
      <c r="D115" s="17">
        <v>30</v>
      </c>
      <c r="E115" s="18">
        <v>44</v>
      </c>
      <c r="F115" s="17">
        <v>44</v>
      </c>
      <c r="G115" s="19" t="s">
        <v>1</v>
      </c>
      <c r="H115" s="17">
        <v>6</v>
      </c>
      <c r="I115" s="20">
        <v>1.136363636363636</v>
      </c>
      <c r="J115" s="21">
        <v>20.45454545454545</v>
      </c>
      <c r="K115" s="22">
        <v>0.88</v>
      </c>
      <c r="L115" s="23">
        <v>60</v>
      </c>
      <c r="M115" s="24">
        <f>IF(MAX(0,ROUNDUP(F115*2-I115,0))=0,"",MAX(0,ROUNDUP(F115*2-I115,0)))</f>
        <v>87</v>
      </c>
    </row>
    <row r="116" spans="1:13" x14ac:dyDescent="0.25">
      <c r="A116" s="16" t="s">
        <v>235</v>
      </c>
      <c r="B116" s="16" t="s">
        <v>236</v>
      </c>
      <c r="C116" s="17" t="s">
        <v>1</v>
      </c>
      <c r="D116" s="17">
        <v>30</v>
      </c>
      <c r="E116" s="18">
        <v>24</v>
      </c>
      <c r="F116" s="17">
        <v>24</v>
      </c>
      <c r="G116" s="19" t="s">
        <v>1</v>
      </c>
      <c r="H116" s="17">
        <v>6</v>
      </c>
      <c r="I116" s="20">
        <v>1.25</v>
      </c>
      <c r="J116" s="21">
        <v>22.5</v>
      </c>
      <c r="K116" s="22">
        <v>0.8</v>
      </c>
      <c r="L116" s="23">
        <v>40</v>
      </c>
      <c r="M116" s="24">
        <f>IF(MAX(0,ROUNDUP(F116*2-I116,0))=0,"",MAX(0,ROUNDUP(F116*2-I116,0)))</f>
        <v>47</v>
      </c>
    </row>
    <row r="117" spans="1:13" x14ac:dyDescent="0.25">
      <c r="A117" s="16" t="s">
        <v>237</v>
      </c>
      <c r="B117" s="16" t="s">
        <v>238</v>
      </c>
      <c r="C117" s="17">
        <v>39</v>
      </c>
      <c r="D117" s="17" t="s">
        <v>1</v>
      </c>
      <c r="E117" s="18">
        <v>26</v>
      </c>
      <c r="F117" s="17">
        <v>26</v>
      </c>
      <c r="G117" s="19" t="s">
        <v>1</v>
      </c>
      <c r="H117" s="17">
        <v>13</v>
      </c>
      <c r="I117" s="20">
        <v>1.5</v>
      </c>
      <c r="J117" s="21">
        <v>27</v>
      </c>
      <c r="K117" s="22">
        <v>0.6666666666666666</v>
      </c>
      <c r="L117" s="23">
        <v>40</v>
      </c>
      <c r="M117" s="24">
        <f>IF(MAX(0,ROUNDUP(F117*2-I117,0))=0,"",MAX(0,ROUNDUP(F117*2-I117,0)))</f>
        <v>51</v>
      </c>
    </row>
    <row r="118" spans="1:13" x14ac:dyDescent="0.25">
      <c r="A118" s="16" t="s">
        <v>239</v>
      </c>
      <c r="B118" s="16" t="s">
        <v>240</v>
      </c>
      <c r="C118" s="17">
        <v>20</v>
      </c>
      <c r="D118" s="17">
        <v>20</v>
      </c>
      <c r="E118" s="18">
        <v>23</v>
      </c>
      <c r="F118" s="17">
        <v>23</v>
      </c>
      <c r="G118" s="19" t="s">
        <v>1</v>
      </c>
      <c r="H118" s="17">
        <v>17</v>
      </c>
      <c r="I118" s="20">
        <v>1.739130434782609</v>
      </c>
      <c r="J118" s="21">
        <v>31.30434782608696</v>
      </c>
      <c r="K118" s="22">
        <v>0.575</v>
      </c>
      <c r="L118" s="23">
        <v>30</v>
      </c>
      <c r="M118" s="24">
        <f>IF(MAX(0,ROUNDUP(F118*2-I118,0))=0,"",MAX(0,ROUNDUP(F118*2-I118,0)))</f>
        <v>45</v>
      </c>
    </row>
    <row r="119" spans="1:13" x14ac:dyDescent="0.25">
      <c r="A119" s="16" t="s">
        <v>241</v>
      </c>
      <c r="B119" s="16" t="s">
        <v>242</v>
      </c>
      <c r="C119" s="17">
        <v>58</v>
      </c>
      <c r="D119" s="17">
        <v>100</v>
      </c>
      <c r="E119" s="18">
        <v>111</v>
      </c>
      <c r="F119" s="17">
        <v>111</v>
      </c>
      <c r="G119" s="19" t="s">
        <v>1</v>
      </c>
      <c r="H119" s="17">
        <v>47</v>
      </c>
      <c r="I119" s="20">
        <v>1.423423423423423</v>
      </c>
      <c r="J119" s="21">
        <v>25.62162162162162</v>
      </c>
      <c r="K119" s="22">
        <v>0.7025316455696202</v>
      </c>
      <c r="L119" s="23">
        <v>100</v>
      </c>
      <c r="M119" s="24">
        <f>IF(MAX(0,ROUNDUP(F119*2-I119,0))=0,"",MAX(0,ROUNDUP(F119*2-I119,0)))</f>
        <v>221</v>
      </c>
    </row>
    <row r="120" spans="1:13" x14ac:dyDescent="0.25">
      <c r="A120" s="16" t="s">
        <v>243</v>
      </c>
      <c r="B120" s="16" t="s">
        <v>244</v>
      </c>
      <c r="C120" s="17">
        <v>3</v>
      </c>
      <c r="D120" s="17">
        <v>3</v>
      </c>
      <c r="E120" s="18">
        <v>4</v>
      </c>
      <c r="F120" s="17">
        <v>4</v>
      </c>
      <c r="G120" s="19" t="s">
        <v>1</v>
      </c>
      <c r="H120" s="17">
        <v>2</v>
      </c>
      <c r="I120" s="20">
        <v>1.5</v>
      </c>
      <c r="J120" s="21">
        <v>27</v>
      </c>
      <c r="K120" s="22">
        <v>0.6666666666666666</v>
      </c>
      <c r="L120" s="23">
        <v>6</v>
      </c>
      <c r="M120" s="24">
        <f>IF(MAX(0,ROUNDUP(F120*2-I120,0))=0,"",MAX(0,ROUNDUP(F120*2-I120,0)))</f>
        <v>7</v>
      </c>
    </row>
    <row r="121" spans="1:13" x14ac:dyDescent="0.25">
      <c r="A121" s="16" t="s">
        <v>245</v>
      </c>
      <c r="B121" s="16" t="s">
        <v>246</v>
      </c>
      <c r="C121" s="17">
        <v>6</v>
      </c>
      <c r="D121" s="17" t="s">
        <v>1</v>
      </c>
      <c r="E121" s="18">
        <v>4</v>
      </c>
      <c r="F121" s="17">
        <v>4</v>
      </c>
      <c r="G121" s="19" t="s">
        <v>1</v>
      </c>
      <c r="H121" s="17">
        <v>2</v>
      </c>
      <c r="I121" s="20">
        <v>1.5</v>
      </c>
      <c r="J121" s="21">
        <v>27</v>
      </c>
      <c r="K121" s="22">
        <v>0.6666666666666666</v>
      </c>
      <c r="L121" s="23">
        <v>6</v>
      </c>
      <c r="M121" s="24">
        <f>IF(MAX(0,ROUNDUP(F121*2-I121,0))=0,"",MAX(0,ROUNDUP(F121*2-I121,0)))</f>
        <v>7</v>
      </c>
    </row>
    <row r="122" spans="1:13" x14ac:dyDescent="0.25">
      <c r="A122" s="16" t="s">
        <v>247</v>
      </c>
      <c r="B122" s="16" t="s">
        <v>248</v>
      </c>
      <c r="C122" s="17">
        <v>2</v>
      </c>
      <c r="D122" s="17">
        <v>4</v>
      </c>
      <c r="E122" s="18">
        <v>4</v>
      </c>
      <c r="F122" s="17">
        <v>4</v>
      </c>
      <c r="G122" s="19" t="s">
        <v>1</v>
      </c>
      <c r="H122" s="17">
        <v>2</v>
      </c>
      <c r="I122" s="20">
        <v>1.5</v>
      </c>
      <c r="J122" s="21">
        <v>27</v>
      </c>
      <c r="K122" s="22">
        <v>0.6666666666666666</v>
      </c>
      <c r="L122" s="23">
        <v>8</v>
      </c>
      <c r="M122" s="24">
        <f>IF(MAX(0,ROUNDUP(F122*2-I122,0))=0,"",MAX(0,ROUNDUP(F122*2-I122,0)))</f>
        <v>7</v>
      </c>
    </row>
    <row r="123" spans="1:13" x14ac:dyDescent="0.25">
      <c r="A123" s="16" t="s">
        <v>249</v>
      </c>
      <c r="B123" s="16" t="s">
        <v>250</v>
      </c>
      <c r="C123" s="17">
        <v>2</v>
      </c>
      <c r="D123" s="17" t="s">
        <v>1</v>
      </c>
      <c r="E123" s="18">
        <v>1</v>
      </c>
      <c r="F123" s="17">
        <v>1</v>
      </c>
      <c r="G123" s="19" t="s">
        <v>1</v>
      </c>
      <c r="H123" s="17">
        <v>1</v>
      </c>
      <c r="I123" s="20">
        <v>2</v>
      </c>
      <c r="J123" s="21">
        <v>36</v>
      </c>
      <c r="K123" s="22">
        <v>0.5</v>
      </c>
      <c r="L123" s="23">
        <v>4</v>
      </c>
      <c r="M123" s="24" t="str">
        <f>IF(MAX(0,ROUNDUP(F123*2-I123,0))=0,"",MAX(0,ROUNDUP(F123*2-I123,0)))</f>
        <v/>
      </c>
    </row>
    <row r="124" spans="1:13" x14ac:dyDescent="0.25">
      <c r="A124" s="16" t="s">
        <v>251</v>
      </c>
      <c r="B124" s="16" t="s">
        <v>252</v>
      </c>
      <c r="C124" s="17">
        <v>1</v>
      </c>
      <c r="D124" s="17" t="s">
        <v>1</v>
      </c>
      <c r="E124" s="18">
        <v>1</v>
      </c>
      <c r="F124" s="17">
        <v>1</v>
      </c>
      <c r="G124" s="19" t="s">
        <v>1</v>
      </c>
      <c r="H124" s="17" t="s">
        <v>1</v>
      </c>
      <c r="I124" s="20">
        <v>1</v>
      </c>
      <c r="J124" s="21">
        <v>18</v>
      </c>
      <c r="K124" s="22">
        <v>1</v>
      </c>
      <c r="L124" s="23">
        <v>1</v>
      </c>
      <c r="M124" s="24">
        <f>IF(MAX(0,ROUNDUP(F124*2-I124,0))=0,"",MAX(0,ROUNDUP(F124*2-I124,0)))</f>
        <v>1</v>
      </c>
    </row>
    <row r="125" spans="1:13" x14ac:dyDescent="0.25">
      <c r="A125" s="16" t="s">
        <v>253</v>
      </c>
      <c r="B125" s="16" t="s">
        <v>254</v>
      </c>
      <c r="C125" s="17">
        <v>1</v>
      </c>
      <c r="D125" s="17" t="s">
        <v>1</v>
      </c>
      <c r="E125" s="18">
        <v>1</v>
      </c>
      <c r="F125" s="17">
        <v>1</v>
      </c>
      <c r="G125" s="19" t="s">
        <v>1</v>
      </c>
      <c r="H125" s="17" t="s">
        <v>1</v>
      </c>
      <c r="I125" s="20">
        <v>1</v>
      </c>
      <c r="J125" s="21">
        <v>18</v>
      </c>
      <c r="K125" s="22">
        <v>1</v>
      </c>
      <c r="L125" s="23">
        <v>1</v>
      </c>
      <c r="M125" s="24">
        <f>IF(MAX(0,ROUNDUP(F125*2-I125,0))=0,"",MAX(0,ROUNDUP(F125*2-I125,0)))</f>
        <v>1</v>
      </c>
    </row>
    <row r="126" spans="1:13" x14ac:dyDescent="0.25">
      <c r="A126" s="16" t="s">
        <v>255</v>
      </c>
      <c r="B126" s="16" t="s">
        <v>256</v>
      </c>
      <c r="C126" s="17">
        <v>1</v>
      </c>
      <c r="D126" s="17">
        <v>1</v>
      </c>
      <c r="E126" s="18">
        <v>1</v>
      </c>
      <c r="F126" s="17">
        <v>1</v>
      </c>
      <c r="G126" s="19" t="s">
        <v>1</v>
      </c>
      <c r="H126" s="17">
        <v>1</v>
      </c>
      <c r="I126" s="20">
        <v>2</v>
      </c>
      <c r="J126" s="21">
        <v>36</v>
      </c>
      <c r="K126" s="22">
        <v>0.5</v>
      </c>
      <c r="L126" s="23">
        <v>1</v>
      </c>
      <c r="M126" s="24" t="str">
        <f>IF(MAX(0,ROUNDUP(F126*2-I126,0))=0,"",MAX(0,ROUNDUP(F126*2-I126,0)))</f>
        <v/>
      </c>
    </row>
    <row r="127" spans="1:13" x14ac:dyDescent="0.25">
      <c r="A127" s="16" t="s">
        <v>257</v>
      </c>
      <c r="B127" s="16" t="s">
        <v>258</v>
      </c>
      <c r="C127" s="17">
        <v>1</v>
      </c>
      <c r="D127" s="17">
        <v>1</v>
      </c>
      <c r="E127" s="18">
        <v>1</v>
      </c>
      <c r="F127" s="17">
        <v>1</v>
      </c>
      <c r="G127" s="19" t="s">
        <v>1</v>
      </c>
      <c r="H127" s="17">
        <v>1</v>
      </c>
      <c r="I127" s="20">
        <v>2</v>
      </c>
      <c r="J127" s="21">
        <v>36</v>
      </c>
      <c r="K127" s="22">
        <v>0.5</v>
      </c>
      <c r="L127" s="23">
        <v>1</v>
      </c>
      <c r="M127" s="24" t="str">
        <f>IF(MAX(0,ROUNDUP(F127*2-I127,0))=0,"",MAX(0,ROUNDUP(F127*2-I127,0)))</f>
        <v/>
      </c>
    </row>
    <row r="128" spans="1:13" x14ac:dyDescent="0.25">
      <c r="A128" s="16" t="s">
        <v>259</v>
      </c>
      <c r="B128" s="16" t="s">
        <v>260</v>
      </c>
      <c r="C128" s="17">
        <v>1</v>
      </c>
      <c r="D128" s="17">
        <v>1</v>
      </c>
      <c r="E128" s="18">
        <v>1</v>
      </c>
      <c r="F128" s="17">
        <v>1</v>
      </c>
      <c r="G128" s="19" t="s">
        <v>1</v>
      </c>
      <c r="H128" s="17">
        <v>1</v>
      </c>
      <c r="I128" s="20">
        <v>2</v>
      </c>
      <c r="J128" s="21">
        <v>36</v>
      </c>
      <c r="K128" s="22">
        <v>0.5</v>
      </c>
      <c r="L128" s="23">
        <v>1</v>
      </c>
      <c r="M128" s="24" t="str">
        <f>IF(MAX(0,ROUNDUP(F128*2-I128,0))=0,"",MAX(0,ROUNDUP(F128*2-I128,0)))</f>
        <v/>
      </c>
    </row>
    <row r="129" spans="1:13" x14ac:dyDescent="0.25">
      <c r="A129" s="16" t="s">
        <v>261</v>
      </c>
      <c r="B129" s="16" t="s">
        <v>262</v>
      </c>
      <c r="C129" s="17">
        <v>1</v>
      </c>
      <c r="D129" s="17" t="s">
        <v>1</v>
      </c>
      <c r="E129" s="18">
        <v>1</v>
      </c>
      <c r="F129" s="17">
        <v>1</v>
      </c>
      <c r="G129" s="19" t="s">
        <v>1</v>
      </c>
      <c r="H129" s="17" t="s">
        <v>1</v>
      </c>
      <c r="I129" s="20">
        <v>1</v>
      </c>
      <c r="J129" s="21">
        <v>18</v>
      </c>
      <c r="K129" s="22">
        <v>1</v>
      </c>
      <c r="L129" s="23">
        <v>2</v>
      </c>
      <c r="M129" s="24">
        <f>IF(MAX(0,ROUNDUP(F129*2-I129,0))=0,"",MAX(0,ROUNDUP(F129*2-I129,0)))</f>
        <v>1</v>
      </c>
    </row>
    <row r="130" spans="1:13" x14ac:dyDescent="0.25">
      <c r="A130" s="16" t="s">
        <v>263</v>
      </c>
      <c r="B130" s="16" t="s">
        <v>264</v>
      </c>
      <c r="C130" s="17">
        <v>1</v>
      </c>
      <c r="D130" s="17" t="s">
        <v>1</v>
      </c>
      <c r="E130" s="18">
        <v>1</v>
      </c>
      <c r="F130" s="17">
        <v>1</v>
      </c>
      <c r="G130" s="19" t="s">
        <v>1</v>
      </c>
      <c r="H130" s="17" t="s">
        <v>1</v>
      </c>
      <c r="I130" s="20">
        <v>1</v>
      </c>
      <c r="J130" s="21">
        <v>18</v>
      </c>
      <c r="K130" s="22">
        <v>1</v>
      </c>
      <c r="L130" s="23">
        <v>2</v>
      </c>
      <c r="M130" s="24">
        <f>IF(MAX(0,ROUNDUP(F130*2-I130,0))=0,"",MAX(0,ROUNDUP(F130*2-I130,0)))</f>
        <v>1</v>
      </c>
    </row>
    <row r="131" spans="1:13" x14ac:dyDescent="0.25">
      <c r="A131" s="16" t="s">
        <v>265</v>
      </c>
      <c r="B131" s="16" t="s">
        <v>266</v>
      </c>
      <c r="C131" s="17">
        <v>1</v>
      </c>
      <c r="D131" s="17" t="s">
        <v>1</v>
      </c>
      <c r="E131" s="18">
        <v>1</v>
      </c>
      <c r="F131" s="17">
        <v>1</v>
      </c>
      <c r="G131" s="19" t="s">
        <v>1</v>
      </c>
      <c r="H131" s="17" t="s">
        <v>1</v>
      </c>
      <c r="I131" s="20">
        <v>1</v>
      </c>
      <c r="J131" s="21">
        <v>18</v>
      </c>
      <c r="K131" s="22">
        <v>1</v>
      </c>
      <c r="L131" s="23">
        <v>1</v>
      </c>
      <c r="M131" s="24">
        <f>IF(MAX(0,ROUNDUP(F131*2-I131,0))=0,"",MAX(0,ROUNDUP(F131*2-I131,0)))</f>
        <v>1</v>
      </c>
    </row>
    <row r="132" spans="1:13" x14ac:dyDescent="0.25">
      <c r="A132" s="16" t="s">
        <v>267</v>
      </c>
      <c r="B132" s="16" t="s">
        <v>268</v>
      </c>
      <c r="C132" s="17">
        <v>1</v>
      </c>
      <c r="D132" s="17" t="s">
        <v>1</v>
      </c>
      <c r="E132" s="18">
        <v>1</v>
      </c>
      <c r="F132" s="17">
        <v>1</v>
      </c>
      <c r="G132" s="19" t="s">
        <v>1</v>
      </c>
      <c r="H132" s="17" t="s">
        <v>1</v>
      </c>
      <c r="I132" s="20">
        <v>1</v>
      </c>
      <c r="J132" s="21">
        <v>18</v>
      </c>
      <c r="K132" s="22">
        <v>1</v>
      </c>
      <c r="L132" s="23">
        <v>1</v>
      </c>
      <c r="M132" s="24">
        <f>IF(MAX(0,ROUNDUP(F132*2-I132,0))=0,"",MAX(0,ROUNDUP(F132*2-I132,0)))</f>
        <v>1</v>
      </c>
    </row>
    <row r="133" spans="1:13" x14ac:dyDescent="0.25">
      <c r="A133" s="16" t="s">
        <v>269</v>
      </c>
      <c r="B133" s="16" t="s">
        <v>270</v>
      </c>
      <c r="C133" s="17">
        <v>1</v>
      </c>
      <c r="D133" s="17" t="s">
        <v>1</v>
      </c>
      <c r="E133" s="18">
        <v>1</v>
      </c>
      <c r="F133" s="17">
        <v>1</v>
      </c>
      <c r="G133" s="19" t="s">
        <v>1</v>
      </c>
      <c r="H133" s="17" t="s">
        <v>1</v>
      </c>
      <c r="I133" s="20">
        <v>1</v>
      </c>
      <c r="J133" s="21">
        <v>18</v>
      </c>
      <c r="K133" s="22">
        <v>1</v>
      </c>
      <c r="L133" s="23">
        <v>1</v>
      </c>
      <c r="M133" s="24">
        <f>IF(MAX(0,ROUNDUP(F133*2-I133,0))=0,"",MAX(0,ROUNDUP(F133*2-I133,0)))</f>
        <v>1</v>
      </c>
    </row>
    <row r="134" spans="1:13" x14ac:dyDescent="0.25">
      <c r="A134" s="16" t="s">
        <v>271</v>
      </c>
      <c r="B134" s="16" t="s">
        <v>272</v>
      </c>
      <c r="C134" s="17">
        <v>2</v>
      </c>
      <c r="D134" s="17" t="s">
        <v>1</v>
      </c>
      <c r="E134" s="18">
        <v>1</v>
      </c>
      <c r="F134" s="17">
        <v>1</v>
      </c>
      <c r="G134" s="19" t="s">
        <v>1</v>
      </c>
      <c r="H134" s="17">
        <v>1</v>
      </c>
      <c r="I134" s="20">
        <v>2</v>
      </c>
      <c r="J134" s="21">
        <v>36</v>
      </c>
      <c r="K134" s="22">
        <v>0.5</v>
      </c>
      <c r="L134" s="23">
        <v>1</v>
      </c>
      <c r="M134" s="24" t="str">
        <f>IF(MAX(0,ROUNDUP(F134*2-I134,0))=0,"",MAX(0,ROUNDUP(F134*2-I134,0)))</f>
        <v/>
      </c>
    </row>
    <row r="135" spans="1:13" x14ac:dyDescent="0.25">
      <c r="A135" s="16" t="s">
        <v>273</v>
      </c>
      <c r="B135" s="16" t="s">
        <v>274</v>
      </c>
      <c r="C135" s="17" t="s">
        <v>1</v>
      </c>
      <c r="D135" s="17">
        <v>1</v>
      </c>
      <c r="E135" s="18">
        <v>1</v>
      </c>
      <c r="F135" s="17">
        <v>1</v>
      </c>
      <c r="G135" s="19" t="s">
        <v>1</v>
      </c>
      <c r="H135" s="17" t="s">
        <v>1</v>
      </c>
      <c r="I135" s="20">
        <v>1</v>
      </c>
      <c r="J135" s="21">
        <v>18</v>
      </c>
      <c r="K135" s="22">
        <v>1</v>
      </c>
      <c r="L135" s="23">
        <v>1</v>
      </c>
      <c r="M135" s="24">
        <f>IF(MAX(0,ROUNDUP(F135*2-I135,0))=0,"",MAX(0,ROUNDUP(F135*2-I135,0)))</f>
        <v>1</v>
      </c>
    </row>
    <row r="136" spans="1:13" x14ac:dyDescent="0.25">
      <c r="A136" s="16" t="s">
        <v>275</v>
      </c>
      <c r="B136" s="16" t="s">
        <v>276</v>
      </c>
      <c r="C136" s="17">
        <v>1</v>
      </c>
      <c r="D136" s="17" t="s">
        <v>1</v>
      </c>
      <c r="E136" s="18">
        <v>1</v>
      </c>
      <c r="F136" s="17">
        <v>1</v>
      </c>
      <c r="G136" s="19" t="s">
        <v>1</v>
      </c>
      <c r="H136" s="17" t="s">
        <v>1</v>
      </c>
      <c r="I136" s="20">
        <v>1</v>
      </c>
      <c r="J136" s="21">
        <v>18</v>
      </c>
      <c r="K136" s="22">
        <v>1</v>
      </c>
      <c r="L136" s="23">
        <v>1</v>
      </c>
      <c r="M136" s="24">
        <f>IF(MAX(0,ROUNDUP(F136*2-I136,0))=0,"",MAX(0,ROUNDUP(F136*2-I136,0)))</f>
        <v>1</v>
      </c>
    </row>
    <row r="137" spans="1:13" x14ac:dyDescent="0.25">
      <c r="A137" s="16" t="s">
        <v>277</v>
      </c>
      <c r="B137" s="16" t="s">
        <v>278</v>
      </c>
      <c r="C137" s="17">
        <v>1</v>
      </c>
      <c r="D137" s="17" t="s">
        <v>1</v>
      </c>
      <c r="E137" s="18">
        <v>1</v>
      </c>
      <c r="F137" s="17">
        <v>1</v>
      </c>
      <c r="G137" s="19" t="s">
        <v>1</v>
      </c>
      <c r="H137" s="17" t="s">
        <v>1</v>
      </c>
      <c r="I137" s="20">
        <v>1</v>
      </c>
      <c r="J137" s="21">
        <v>18</v>
      </c>
      <c r="K137" s="22">
        <v>1</v>
      </c>
      <c r="L137" s="23">
        <v>1</v>
      </c>
      <c r="M137" s="24">
        <f>IF(MAX(0,ROUNDUP(F137*2-I137,0))=0,"",MAX(0,ROUNDUP(F137*2-I137,0)))</f>
        <v>1</v>
      </c>
    </row>
    <row r="138" spans="1:13" x14ac:dyDescent="0.25">
      <c r="A138" s="16" t="s">
        <v>279</v>
      </c>
      <c r="B138" s="16" t="s">
        <v>280</v>
      </c>
      <c r="C138" s="17">
        <v>1</v>
      </c>
      <c r="D138" s="17" t="s">
        <v>1</v>
      </c>
      <c r="E138" s="18">
        <v>1</v>
      </c>
      <c r="F138" s="17">
        <v>1</v>
      </c>
      <c r="G138" s="19" t="s">
        <v>1</v>
      </c>
      <c r="H138" s="17" t="s">
        <v>1</v>
      </c>
      <c r="I138" s="20">
        <v>1</v>
      </c>
      <c r="J138" s="21">
        <v>18</v>
      </c>
      <c r="K138" s="22">
        <v>1</v>
      </c>
      <c r="L138" s="23">
        <v>1</v>
      </c>
      <c r="M138" s="24">
        <f>IF(MAX(0,ROUNDUP(F138*2-I138,0))=0,"",MAX(0,ROUNDUP(F138*2-I138,0)))</f>
        <v>1</v>
      </c>
    </row>
    <row r="139" spans="1:13" x14ac:dyDescent="0.25">
      <c r="A139" s="16" t="s">
        <v>281</v>
      </c>
      <c r="B139" s="16" t="s">
        <v>282</v>
      </c>
      <c r="C139" s="17">
        <v>1</v>
      </c>
      <c r="D139" s="17">
        <v>1</v>
      </c>
      <c r="E139" s="18">
        <v>1</v>
      </c>
      <c r="F139" s="17">
        <v>1</v>
      </c>
      <c r="G139" s="19" t="s">
        <v>1</v>
      </c>
      <c r="H139" s="17">
        <v>1</v>
      </c>
      <c r="I139" s="20">
        <v>2</v>
      </c>
      <c r="J139" s="21">
        <v>36</v>
      </c>
      <c r="K139" s="22">
        <v>0.5</v>
      </c>
      <c r="L139" s="23">
        <v>1</v>
      </c>
      <c r="M139" s="24" t="str">
        <f>IF(MAX(0,ROUNDUP(F139*2-I139,0))=0,"",MAX(0,ROUNDUP(F139*2-I139,0)))</f>
        <v/>
      </c>
    </row>
    <row r="140" spans="1:13" x14ac:dyDescent="0.25">
      <c r="A140" s="16" t="s">
        <v>283</v>
      </c>
      <c r="B140" s="16" t="s">
        <v>284</v>
      </c>
      <c r="C140" s="17">
        <v>1</v>
      </c>
      <c r="D140" s="17">
        <v>1</v>
      </c>
      <c r="E140" s="18">
        <v>1</v>
      </c>
      <c r="F140" s="17">
        <v>1</v>
      </c>
      <c r="G140" s="19" t="s">
        <v>1</v>
      </c>
      <c r="H140" s="17">
        <v>1</v>
      </c>
      <c r="I140" s="20">
        <v>2</v>
      </c>
      <c r="J140" s="21">
        <v>36</v>
      </c>
      <c r="K140" s="22">
        <v>0.5</v>
      </c>
      <c r="L140" s="23">
        <v>1</v>
      </c>
      <c r="M140" s="24" t="str">
        <f>IF(MAX(0,ROUNDUP(F140*2-I140,0))=0,"",MAX(0,ROUNDUP(F140*2-I140,0)))</f>
        <v/>
      </c>
    </row>
    <row r="141" spans="1:13" x14ac:dyDescent="0.25">
      <c r="A141" s="16" t="s">
        <v>285</v>
      </c>
      <c r="B141" s="16" t="s">
        <v>286</v>
      </c>
      <c r="C141" s="17">
        <v>1</v>
      </c>
      <c r="D141" s="17" t="s">
        <v>1</v>
      </c>
      <c r="E141" s="18">
        <v>1</v>
      </c>
      <c r="F141" s="17">
        <v>1</v>
      </c>
      <c r="G141" s="19" t="s">
        <v>1</v>
      </c>
      <c r="H141" s="17" t="s">
        <v>1</v>
      </c>
      <c r="I141" s="20">
        <v>1</v>
      </c>
      <c r="J141" s="21">
        <v>18</v>
      </c>
      <c r="K141" s="22">
        <v>1</v>
      </c>
      <c r="L141" s="23">
        <v>1</v>
      </c>
      <c r="M141" s="24">
        <f>IF(MAX(0,ROUNDUP(F141*2-I141,0))=0,"",MAX(0,ROUNDUP(F141*2-I141,0)))</f>
        <v>1</v>
      </c>
    </row>
    <row r="142" spans="1:13" x14ac:dyDescent="0.25">
      <c r="A142" s="16" t="s">
        <v>287</v>
      </c>
      <c r="B142" s="16" t="s">
        <v>288</v>
      </c>
      <c r="C142" s="17">
        <v>1</v>
      </c>
      <c r="D142" s="17" t="s">
        <v>1</v>
      </c>
      <c r="E142" s="18">
        <v>1</v>
      </c>
      <c r="F142" s="17">
        <v>1</v>
      </c>
      <c r="G142" s="19" t="s">
        <v>1</v>
      </c>
      <c r="H142" s="17" t="s">
        <v>1</v>
      </c>
      <c r="I142" s="20">
        <v>1</v>
      </c>
      <c r="J142" s="21">
        <v>18</v>
      </c>
      <c r="K142" s="22">
        <v>1</v>
      </c>
      <c r="L142" s="23">
        <v>1</v>
      </c>
      <c r="M142" s="24">
        <f>IF(MAX(0,ROUNDUP(F142*2-I142,0))=0,"",MAX(0,ROUNDUP(F142*2-I142,0)))</f>
        <v>1</v>
      </c>
    </row>
    <row r="143" spans="1:13" x14ac:dyDescent="0.25">
      <c r="A143" s="16" t="s">
        <v>289</v>
      </c>
      <c r="B143" s="16" t="s">
        <v>290</v>
      </c>
      <c r="C143" s="17">
        <v>2</v>
      </c>
      <c r="D143" s="17" t="s">
        <v>1</v>
      </c>
      <c r="E143" s="18">
        <v>2</v>
      </c>
      <c r="F143" s="17">
        <v>2</v>
      </c>
      <c r="G143" s="19" t="s">
        <v>1</v>
      </c>
      <c r="H143" s="17" t="s">
        <v>1</v>
      </c>
      <c r="I143" s="20">
        <v>1</v>
      </c>
      <c r="J143" s="21">
        <v>18</v>
      </c>
      <c r="K143" s="22">
        <v>1</v>
      </c>
      <c r="L143" s="23">
        <v>3</v>
      </c>
      <c r="M143" s="24">
        <f>IF(MAX(0,ROUNDUP(F143*2-I143,0))=0,"",MAX(0,ROUNDUP(F143*2-I143,0)))</f>
        <v>3</v>
      </c>
    </row>
    <row r="144" spans="1:13" x14ac:dyDescent="0.25">
      <c r="A144" s="16" t="s">
        <v>291</v>
      </c>
      <c r="B144" s="16" t="s">
        <v>292</v>
      </c>
      <c r="C144" s="17">
        <v>12</v>
      </c>
      <c r="D144" s="17">
        <v>5</v>
      </c>
      <c r="E144" s="18">
        <v>11</v>
      </c>
      <c r="F144" s="17">
        <v>11</v>
      </c>
      <c r="G144" s="19" t="s">
        <v>1</v>
      </c>
      <c r="H144" s="17">
        <v>6</v>
      </c>
      <c r="I144" s="20">
        <v>1.545454545454545</v>
      </c>
      <c r="J144" s="21">
        <v>27.81818181818182</v>
      </c>
      <c r="K144" s="22">
        <v>0.6470588235294118</v>
      </c>
      <c r="L144" s="23">
        <v>14</v>
      </c>
      <c r="M144" s="24">
        <f>IF(MAX(0,ROUNDUP(F144*2-I144,0))=0,"",MAX(0,ROUNDUP(F144*2-I144,0)))</f>
        <v>21</v>
      </c>
    </row>
    <row r="145" spans="1:13" x14ac:dyDescent="0.25">
      <c r="A145" s="16" t="s">
        <v>293</v>
      </c>
      <c r="B145" s="16" t="s">
        <v>294</v>
      </c>
      <c r="C145" s="17">
        <v>10</v>
      </c>
      <c r="D145" s="17">
        <v>10</v>
      </c>
      <c r="E145" s="18">
        <v>11</v>
      </c>
      <c r="F145" s="17">
        <v>11</v>
      </c>
      <c r="G145" s="19" t="s">
        <v>1</v>
      </c>
      <c r="H145" s="17">
        <v>9</v>
      </c>
      <c r="I145" s="20">
        <v>1.818181818181818</v>
      </c>
      <c r="J145" s="21">
        <v>32.72727272727273</v>
      </c>
      <c r="K145" s="22">
        <v>0.55</v>
      </c>
      <c r="L145" s="23">
        <v>10</v>
      </c>
      <c r="M145" s="24">
        <f>IF(MAX(0,ROUNDUP(F145*2-I145,0))=0,"",MAX(0,ROUNDUP(F145*2-I145,0)))</f>
        <v>21</v>
      </c>
    </row>
    <row r="146" spans="1:13" x14ac:dyDescent="0.25">
      <c r="A146" s="16" t="s">
        <v>295</v>
      </c>
      <c r="B146" s="16" t="s">
        <v>296</v>
      </c>
      <c r="C146" s="17">
        <v>9</v>
      </c>
      <c r="D146" s="17">
        <v>15</v>
      </c>
      <c r="E146" s="18">
        <v>16</v>
      </c>
      <c r="F146" s="17">
        <v>16</v>
      </c>
      <c r="G146" s="19" t="s">
        <v>1</v>
      </c>
      <c r="H146" s="17">
        <v>8</v>
      </c>
      <c r="I146" s="20">
        <v>1.5</v>
      </c>
      <c r="J146" s="21">
        <v>27</v>
      </c>
      <c r="K146" s="22">
        <v>0.6666666666666666</v>
      </c>
      <c r="L146" s="23">
        <v>15</v>
      </c>
      <c r="M146" s="24">
        <f>IF(MAX(0,ROUNDUP(F146*2-I146,0))=0,"",MAX(0,ROUNDUP(F146*2-I146,0)))</f>
        <v>31</v>
      </c>
    </row>
    <row r="147" spans="1:13" x14ac:dyDescent="0.25">
      <c r="A147" s="16" t="s">
        <v>297</v>
      </c>
      <c r="B147" s="16" t="s">
        <v>298</v>
      </c>
      <c r="C147" s="17">
        <v>2</v>
      </c>
      <c r="D147" s="17" t="s">
        <v>1</v>
      </c>
      <c r="E147" s="18">
        <v>1</v>
      </c>
      <c r="F147" s="17">
        <v>1</v>
      </c>
      <c r="G147" s="19" t="s">
        <v>1</v>
      </c>
      <c r="H147" s="17">
        <v>1</v>
      </c>
      <c r="I147" s="20">
        <v>2</v>
      </c>
      <c r="J147" s="21">
        <v>36</v>
      </c>
      <c r="K147" s="22">
        <v>0.5</v>
      </c>
      <c r="L147" s="23">
        <v>1</v>
      </c>
      <c r="M147" s="24" t="str">
        <f>IF(MAX(0,ROUNDUP(F147*2-I147,0))=0,"",MAX(0,ROUNDUP(F147*2-I147,0)))</f>
        <v/>
      </c>
    </row>
    <row r="148" spans="1:13" x14ac:dyDescent="0.25">
      <c r="A148" s="16" t="s">
        <v>299</v>
      </c>
      <c r="B148" s="16" t="s">
        <v>300</v>
      </c>
      <c r="C148" s="17">
        <v>4</v>
      </c>
      <c r="D148" s="17">
        <v>2</v>
      </c>
      <c r="E148" s="18">
        <v>4</v>
      </c>
      <c r="F148" s="17">
        <v>4</v>
      </c>
      <c r="G148" s="19" t="s">
        <v>1</v>
      </c>
      <c r="H148" s="17">
        <v>2</v>
      </c>
      <c r="I148" s="20">
        <v>1.5</v>
      </c>
      <c r="J148" s="21">
        <v>27</v>
      </c>
      <c r="K148" s="22">
        <v>0.6666666666666666</v>
      </c>
      <c r="L148" s="23">
        <v>2</v>
      </c>
      <c r="M148" s="24">
        <f>IF(MAX(0,ROUNDUP(F148*2-I148,0))=0,"",MAX(0,ROUNDUP(F148*2-I148,0)))</f>
        <v>7</v>
      </c>
    </row>
    <row r="149" spans="1:13" x14ac:dyDescent="0.25">
      <c r="A149" s="16" t="s">
        <v>301</v>
      </c>
      <c r="B149" s="16" t="s">
        <v>302</v>
      </c>
      <c r="C149" s="17">
        <v>2</v>
      </c>
      <c r="D149" s="17">
        <v>4</v>
      </c>
      <c r="E149" s="18">
        <v>3</v>
      </c>
      <c r="F149" s="17">
        <v>3</v>
      </c>
      <c r="G149" s="19" t="s">
        <v>1</v>
      </c>
      <c r="H149" s="17">
        <v>3</v>
      </c>
      <c r="I149" s="20">
        <v>2</v>
      </c>
      <c r="J149" s="21">
        <v>36</v>
      </c>
      <c r="K149" s="22">
        <v>0.5</v>
      </c>
      <c r="L149" s="23">
        <v>2</v>
      </c>
      <c r="M149" s="24">
        <f>IF(MAX(0,ROUNDUP(F149*2-I149,0))=0,"",MAX(0,ROUNDUP(F149*2-I149,0)))</f>
        <v>4</v>
      </c>
    </row>
    <row r="150" spans="1:13" x14ac:dyDescent="0.25">
      <c r="A150" s="16" t="s">
        <v>303</v>
      </c>
      <c r="B150" s="16" t="s">
        <v>304</v>
      </c>
      <c r="C150" s="17">
        <v>6</v>
      </c>
      <c r="D150" s="17" t="s">
        <v>1</v>
      </c>
      <c r="E150" s="18">
        <v>3</v>
      </c>
      <c r="F150" s="17">
        <v>3</v>
      </c>
      <c r="G150" s="19" t="s">
        <v>1</v>
      </c>
      <c r="H150" s="17">
        <v>3</v>
      </c>
      <c r="I150" s="20">
        <v>2</v>
      </c>
      <c r="J150" s="21">
        <v>36</v>
      </c>
      <c r="K150" s="22">
        <v>0.5</v>
      </c>
      <c r="L150" s="23">
        <v>5</v>
      </c>
      <c r="M150" s="24">
        <f>IF(MAX(0,ROUNDUP(F150*2-I150,0))=0,"",MAX(0,ROUNDUP(F150*2-I150,0)))</f>
        <v>4</v>
      </c>
    </row>
    <row r="151" spans="1:13" x14ac:dyDescent="0.25">
      <c r="A151" s="16" t="s">
        <v>305</v>
      </c>
      <c r="B151" s="16" t="s">
        <v>306</v>
      </c>
      <c r="C151" s="17">
        <v>2</v>
      </c>
      <c r="D151" s="17">
        <v>5</v>
      </c>
      <c r="E151" s="18">
        <v>3</v>
      </c>
      <c r="F151" s="17">
        <v>3</v>
      </c>
      <c r="G151" s="19" t="s">
        <v>1</v>
      </c>
      <c r="H151" s="17">
        <v>4</v>
      </c>
      <c r="I151" s="20">
        <v>2.333333333333333</v>
      </c>
      <c r="J151" s="21">
        <v>42</v>
      </c>
      <c r="K151" s="22">
        <v>0.4285714285714285</v>
      </c>
      <c r="L151" s="23">
        <v>4</v>
      </c>
      <c r="M151" s="24">
        <f>IF(MAX(0,ROUNDUP(F151*2-I151,0))=0,"",MAX(0,ROUNDUP(F151*2-I151,0)))</f>
        <v>4</v>
      </c>
    </row>
    <row r="152" spans="1:13" x14ac:dyDescent="0.25">
      <c r="A152" s="16" t="s">
        <v>307</v>
      </c>
      <c r="B152" s="16" t="s">
        <v>308</v>
      </c>
      <c r="C152" s="17">
        <v>2</v>
      </c>
      <c r="D152" s="17" t="s">
        <v>1</v>
      </c>
      <c r="E152" s="18">
        <v>1</v>
      </c>
      <c r="F152" s="17">
        <v>1</v>
      </c>
      <c r="G152" s="19" t="s">
        <v>1</v>
      </c>
      <c r="H152" s="17">
        <v>1</v>
      </c>
      <c r="I152" s="20">
        <v>2</v>
      </c>
      <c r="J152" s="21">
        <v>36</v>
      </c>
      <c r="K152" s="22">
        <v>0.5</v>
      </c>
      <c r="L152" s="23">
        <v>2</v>
      </c>
      <c r="M152" s="24" t="str">
        <f>IF(MAX(0,ROUNDUP(F152*2-I152,0))=0,"",MAX(0,ROUNDUP(F152*2-I152,0)))</f>
        <v/>
      </c>
    </row>
    <row r="153" spans="1:13" x14ac:dyDescent="0.25">
      <c r="A153" s="16" t="s">
        <v>309</v>
      </c>
      <c r="B153" s="16" t="s">
        <v>310</v>
      </c>
      <c r="C153" s="17">
        <v>2</v>
      </c>
      <c r="D153" s="17">
        <v>3</v>
      </c>
      <c r="E153" s="18">
        <v>2</v>
      </c>
      <c r="F153" s="17">
        <v>2</v>
      </c>
      <c r="G153" s="19" t="s">
        <v>1</v>
      </c>
      <c r="H153" s="17">
        <v>3</v>
      </c>
      <c r="I153" s="20">
        <v>2.5</v>
      </c>
      <c r="J153" s="21">
        <v>45</v>
      </c>
      <c r="K153" s="22">
        <v>0.4</v>
      </c>
      <c r="L153" s="23">
        <v>1</v>
      </c>
      <c r="M153" s="24">
        <f>IF(MAX(0,ROUNDUP(F153*2-I153,0))=0,"",MAX(0,ROUNDUP(F153*2-I153,0)))</f>
        <v>2</v>
      </c>
    </row>
    <row r="154" spans="1:13" x14ac:dyDescent="0.25">
      <c r="A154" s="16" t="s">
        <v>311</v>
      </c>
      <c r="B154" s="16" t="s">
        <v>312</v>
      </c>
      <c r="C154" s="17">
        <v>1</v>
      </c>
      <c r="D154" s="17">
        <v>1</v>
      </c>
      <c r="E154" s="18">
        <v>1</v>
      </c>
      <c r="F154" s="17">
        <v>1</v>
      </c>
      <c r="G154" s="19" t="s">
        <v>1</v>
      </c>
      <c r="H154" s="17">
        <v>1</v>
      </c>
      <c r="I154" s="20">
        <v>2</v>
      </c>
      <c r="J154" s="21">
        <v>36</v>
      </c>
      <c r="K154" s="22">
        <v>0.5</v>
      </c>
      <c r="L154" s="23">
        <v>1</v>
      </c>
      <c r="M154" s="24" t="str">
        <f>IF(MAX(0,ROUNDUP(F154*2-I154,0))=0,"",MAX(0,ROUNDUP(F154*2-I154,0)))</f>
        <v/>
      </c>
    </row>
    <row r="155" spans="1:13" x14ac:dyDescent="0.25">
      <c r="A155" s="16" t="s">
        <v>313</v>
      </c>
      <c r="B155" s="16" t="s">
        <v>314</v>
      </c>
      <c r="C155" s="17">
        <v>1</v>
      </c>
      <c r="D155" s="17" t="s">
        <v>1</v>
      </c>
      <c r="E155" s="18">
        <v>1</v>
      </c>
      <c r="F155" s="17">
        <v>1</v>
      </c>
      <c r="G155" s="19" t="s">
        <v>1</v>
      </c>
      <c r="H155" s="17" t="s">
        <v>1</v>
      </c>
      <c r="I155" s="20">
        <v>1</v>
      </c>
      <c r="J155" s="21">
        <v>18</v>
      </c>
      <c r="K155" s="22">
        <v>1</v>
      </c>
      <c r="L155" s="23">
        <v>1</v>
      </c>
      <c r="M155" s="24">
        <f>IF(MAX(0,ROUNDUP(F155*2-I155,0))=0,"",MAX(0,ROUNDUP(F155*2-I155,0)))</f>
        <v>1</v>
      </c>
    </row>
    <row r="156" spans="1:13" x14ac:dyDescent="0.25">
      <c r="A156" s="16" t="s">
        <v>315</v>
      </c>
      <c r="B156" s="16" t="s">
        <v>316</v>
      </c>
      <c r="C156" s="17">
        <v>2</v>
      </c>
      <c r="D156" s="17" t="s">
        <v>1</v>
      </c>
      <c r="E156" s="18">
        <v>1</v>
      </c>
      <c r="F156" s="17">
        <v>1</v>
      </c>
      <c r="G156" s="19" t="s">
        <v>1</v>
      </c>
      <c r="H156" s="17">
        <v>1</v>
      </c>
      <c r="I156" s="20">
        <v>2</v>
      </c>
      <c r="J156" s="21">
        <v>36</v>
      </c>
      <c r="K156" s="22">
        <v>0.5</v>
      </c>
      <c r="L156" s="23">
        <v>1</v>
      </c>
      <c r="M156" s="24" t="str">
        <f>IF(MAX(0,ROUNDUP(F156*2-I156,0))=0,"",MAX(0,ROUNDUP(F156*2-I156,0)))</f>
        <v/>
      </c>
    </row>
    <row r="157" spans="1:13" x14ac:dyDescent="0.25">
      <c r="A157" s="16" t="s">
        <v>317</v>
      </c>
      <c r="B157" s="16" t="s">
        <v>318</v>
      </c>
      <c r="C157" s="17">
        <v>1</v>
      </c>
      <c r="D157" s="17" t="s">
        <v>1</v>
      </c>
      <c r="E157" s="18">
        <v>1</v>
      </c>
      <c r="F157" s="17">
        <v>1</v>
      </c>
      <c r="G157" s="19" t="s">
        <v>1</v>
      </c>
      <c r="H157" s="17" t="s">
        <v>1</v>
      </c>
      <c r="I157" s="20">
        <v>1</v>
      </c>
      <c r="J157" s="21">
        <v>18</v>
      </c>
      <c r="K157" s="22">
        <v>1</v>
      </c>
      <c r="L157" s="23">
        <v>1</v>
      </c>
      <c r="M157" s="24">
        <f>IF(MAX(0,ROUNDUP(F157*2-I157,0))=0,"",MAX(0,ROUNDUP(F157*2-I157,0)))</f>
        <v>1</v>
      </c>
    </row>
    <row r="158" spans="1:13" x14ac:dyDescent="0.25">
      <c r="A158" s="16" t="s">
        <v>319</v>
      </c>
      <c r="B158" s="16" t="s">
        <v>320</v>
      </c>
      <c r="C158" s="17">
        <v>1</v>
      </c>
      <c r="D158" s="17" t="s">
        <v>1</v>
      </c>
      <c r="E158" s="18">
        <v>1</v>
      </c>
      <c r="F158" s="17">
        <v>1</v>
      </c>
      <c r="G158" s="19" t="s">
        <v>1</v>
      </c>
      <c r="H158" s="17" t="s">
        <v>1</v>
      </c>
      <c r="I158" s="20">
        <v>1</v>
      </c>
      <c r="J158" s="21">
        <v>18</v>
      </c>
      <c r="K158" s="22">
        <v>1</v>
      </c>
      <c r="L158" s="23">
        <v>1</v>
      </c>
      <c r="M158" s="24">
        <f>IF(MAX(0,ROUNDUP(F158*2-I158,0))=0,"",MAX(0,ROUNDUP(F158*2-I158,0)))</f>
        <v>1</v>
      </c>
    </row>
    <row r="159" spans="1:13" x14ac:dyDescent="0.25">
      <c r="A159" s="16" t="s">
        <v>321</v>
      </c>
      <c r="B159" s="16" t="s">
        <v>322</v>
      </c>
      <c r="C159" s="17">
        <v>1</v>
      </c>
      <c r="D159" s="17" t="s">
        <v>1</v>
      </c>
      <c r="E159" s="18">
        <v>1</v>
      </c>
      <c r="F159" s="17">
        <v>1</v>
      </c>
      <c r="G159" s="19" t="s">
        <v>1</v>
      </c>
      <c r="H159" s="17" t="s">
        <v>1</v>
      </c>
      <c r="I159" s="20">
        <v>1</v>
      </c>
      <c r="J159" s="21">
        <v>18</v>
      </c>
      <c r="K159" s="22">
        <v>1</v>
      </c>
      <c r="L159" s="23">
        <v>1</v>
      </c>
      <c r="M159" s="24">
        <f>IF(MAX(0,ROUNDUP(F159*2-I159,0))=0,"",MAX(0,ROUNDUP(F159*2-I159,0)))</f>
        <v>1</v>
      </c>
    </row>
    <row r="160" spans="1:13" x14ac:dyDescent="0.25">
      <c r="A160" s="16" t="s">
        <v>323</v>
      </c>
      <c r="B160" s="16" t="s">
        <v>324</v>
      </c>
      <c r="C160" s="17">
        <v>1</v>
      </c>
      <c r="D160" s="17" t="s">
        <v>1</v>
      </c>
      <c r="E160" s="18">
        <v>1</v>
      </c>
      <c r="F160" s="17">
        <v>1</v>
      </c>
      <c r="G160" s="19" t="s">
        <v>1</v>
      </c>
      <c r="H160" s="17" t="s">
        <v>1</v>
      </c>
      <c r="I160" s="20">
        <v>1</v>
      </c>
      <c r="J160" s="21">
        <v>18</v>
      </c>
      <c r="K160" s="22">
        <v>1</v>
      </c>
      <c r="L160" s="23">
        <v>1</v>
      </c>
      <c r="M160" s="24">
        <f>IF(MAX(0,ROUNDUP(F160*2-I160,0))=0,"",MAX(0,ROUNDUP(F160*2-I160,0)))</f>
        <v>1</v>
      </c>
    </row>
    <row r="161" spans="1:13" x14ac:dyDescent="0.25">
      <c r="A161" s="16" t="s">
        <v>325</v>
      </c>
      <c r="B161" s="16" t="s">
        <v>326</v>
      </c>
      <c r="C161" s="17">
        <v>1</v>
      </c>
      <c r="D161" s="17" t="s">
        <v>1</v>
      </c>
      <c r="E161" s="18">
        <v>1</v>
      </c>
      <c r="F161" s="17">
        <v>1</v>
      </c>
      <c r="G161" s="19" t="s">
        <v>1</v>
      </c>
      <c r="H161" s="17" t="s">
        <v>1</v>
      </c>
      <c r="I161" s="20">
        <v>1</v>
      </c>
      <c r="J161" s="21">
        <v>18</v>
      </c>
      <c r="K161" s="22">
        <v>1</v>
      </c>
      <c r="L161" s="23">
        <v>2</v>
      </c>
      <c r="M161" s="24">
        <f>IF(MAX(0,ROUNDUP(F161*2-I161,0))=0,"",MAX(0,ROUNDUP(F161*2-I161,0)))</f>
        <v>1</v>
      </c>
    </row>
    <row r="162" spans="1:13" x14ac:dyDescent="0.25">
      <c r="A162" s="16" t="s">
        <v>327</v>
      </c>
      <c r="B162" s="16" t="s">
        <v>328</v>
      </c>
      <c r="C162" s="17" t="s">
        <v>1</v>
      </c>
      <c r="D162" s="17">
        <v>2</v>
      </c>
      <c r="E162" s="18">
        <v>1</v>
      </c>
      <c r="F162" s="17">
        <v>1</v>
      </c>
      <c r="G162" s="19" t="s">
        <v>1</v>
      </c>
      <c r="H162" s="17">
        <v>1</v>
      </c>
      <c r="I162" s="20">
        <v>2</v>
      </c>
      <c r="J162" s="21">
        <v>36</v>
      </c>
      <c r="K162" s="22">
        <v>0.5</v>
      </c>
      <c r="L162" s="23">
        <v>2</v>
      </c>
      <c r="M162" s="24" t="str">
        <f>IF(MAX(0,ROUNDUP(F162*2-I162,0))=0,"",MAX(0,ROUNDUP(F162*2-I162,0)))</f>
        <v/>
      </c>
    </row>
    <row r="163" spans="1:13" x14ac:dyDescent="0.25">
      <c r="A163" s="16" t="s">
        <v>329</v>
      </c>
      <c r="B163" s="16" t="s">
        <v>330</v>
      </c>
      <c r="C163" s="17">
        <v>1</v>
      </c>
      <c r="D163" s="17" t="s">
        <v>1</v>
      </c>
      <c r="E163" s="18">
        <v>1</v>
      </c>
      <c r="F163" s="17">
        <v>1</v>
      </c>
      <c r="G163" s="19" t="s">
        <v>1</v>
      </c>
      <c r="H163" s="17" t="s">
        <v>1</v>
      </c>
      <c r="I163" s="20">
        <v>1</v>
      </c>
      <c r="J163" s="21">
        <v>18</v>
      </c>
      <c r="K163" s="22">
        <v>1</v>
      </c>
      <c r="L163" s="23">
        <v>1</v>
      </c>
      <c r="M163" s="24">
        <f>IF(MAX(0,ROUNDUP(F163*2-I163,0))=0,"",MAX(0,ROUNDUP(F163*2-I163,0)))</f>
        <v>1</v>
      </c>
    </row>
    <row r="164" spans="1:13" x14ac:dyDescent="0.25">
      <c r="A164" s="16" t="s">
        <v>331</v>
      </c>
      <c r="B164" s="16" t="s">
        <v>332</v>
      </c>
      <c r="C164" s="17">
        <v>1</v>
      </c>
      <c r="D164" s="17" t="s">
        <v>1</v>
      </c>
      <c r="E164" s="18">
        <v>1</v>
      </c>
      <c r="F164" s="17">
        <v>1</v>
      </c>
      <c r="G164" s="19" t="s">
        <v>1</v>
      </c>
      <c r="H164" s="17" t="s">
        <v>1</v>
      </c>
      <c r="I164" s="20">
        <v>1</v>
      </c>
      <c r="J164" s="21">
        <v>18</v>
      </c>
      <c r="K164" s="22">
        <v>1</v>
      </c>
      <c r="L164" s="23">
        <v>1</v>
      </c>
      <c r="M164" s="24">
        <f>IF(MAX(0,ROUNDUP(F164*2-I164,0))=0,"",MAX(0,ROUNDUP(F164*2-I164,0)))</f>
        <v>1</v>
      </c>
    </row>
    <row r="165" spans="1:13" x14ac:dyDescent="0.25">
      <c r="A165" s="16" t="s">
        <v>333</v>
      </c>
      <c r="B165" s="16" t="s">
        <v>334</v>
      </c>
      <c r="C165" s="17">
        <v>1</v>
      </c>
      <c r="D165" s="17">
        <v>1</v>
      </c>
      <c r="E165" s="18">
        <v>1</v>
      </c>
      <c r="F165" s="17">
        <v>1</v>
      </c>
      <c r="G165" s="19" t="s">
        <v>1</v>
      </c>
      <c r="H165" s="17">
        <v>1</v>
      </c>
      <c r="I165" s="20">
        <v>2</v>
      </c>
      <c r="J165" s="21">
        <v>36</v>
      </c>
      <c r="K165" s="22">
        <v>0.5</v>
      </c>
      <c r="L165" s="23">
        <v>1</v>
      </c>
      <c r="M165" s="24" t="str">
        <f>IF(MAX(0,ROUNDUP(F165*2-I165,0))=0,"",MAX(0,ROUNDUP(F165*2-I165,0)))</f>
        <v/>
      </c>
    </row>
    <row r="166" spans="1:13" x14ac:dyDescent="0.25">
      <c r="A166" s="16" t="s">
        <v>335</v>
      </c>
      <c r="B166" s="16" t="s">
        <v>336</v>
      </c>
      <c r="C166" s="17">
        <v>1</v>
      </c>
      <c r="D166" s="17" t="s">
        <v>1</v>
      </c>
      <c r="E166" s="18">
        <v>1</v>
      </c>
      <c r="F166" s="17">
        <v>1</v>
      </c>
      <c r="G166" s="19" t="s">
        <v>1</v>
      </c>
      <c r="H166" s="17" t="s">
        <v>1</v>
      </c>
      <c r="I166" s="20">
        <v>1</v>
      </c>
      <c r="J166" s="21">
        <v>18</v>
      </c>
      <c r="K166" s="22">
        <v>1</v>
      </c>
      <c r="L166" s="23">
        <v>1</v>
      </c>
      <c r="M166" s="24">
        <f>IF(MAX(0,ROUNDUP(F166*2-I166,0))=0,"",MAX(0,ROUNDUP(F166*2-I166,0)))</f>
        <v>1</v>
      </c>
    </row>
    <row r="167" spans="1:13" x14ac:dyDescent="0.25">
      <c r="A167" s="16" t="s">
        <v>337</v>
      </c>
      <c r="B167" s="16" t="s">
        <v>338</v>
      </c>
      <c r="C167" s="17">
        <v>1</v>
      </c>
      <c r="D167" s="17">
        <v>1</v>
      </c>
      <c r="E167" s="18">
        <v>1</v>
      </c>
      <c r="F167" s="17">
        <v>1</v>
      </c>
      <c r="G167" s="19" t="s">
        <v>1</v>
      </c>
      <c r="H167" s="17">
        <v>1</v>
      </c>
      <c r="I167" s="20">
        <v>2</v>
      </c>
      <c r="J167" s="21">
        <v>36</v>
      </c>
      <c r="K167" s="22">
        <v>0.5</v>
      </c>
      <c r="L167" s="23" t="s">
        <v>1</v>
      </c>
      <c r="M167" s="24" t="str">
        <f>IF(MAX(0,ROUNDUP(F167*2-I167,0))=0,"",MAX(0,ROUNDUP(F167*2-I167,0)))</f>
        <v/>
      </c>
    </row>
    <row r="168" spans="1:13" x14ac:dyDescent="0.25">
      <c r="A168" s="16" t="s">
        <v>339</v>
      </c>
      <c r="B168" s="16" t="s">
        <v>340</v>
      </c>
      <c r="C168" s="17">
        <v>1</v>
      </c>
      <c r="D168" s="17" t="s">
        <v>1</v>
      </c>
      <c r="E168" s="18">
        <v>1</v>
      </c>
      <c r="F168" s="17">
        <v>1</v>
      </c>
      <c r="G168" s="19" t="s">
        <v>1</v>
      </c>
      <c r="H168" s="17" t="s">
        <v>1</v>
      </c>
      <c r="I168" s="20">
        <v>1</v>
      </c>
      <c r="J168" s="21">
        <v>18</v>
      </c>
      <c r="K168" s="22">
        <v>1</v>
      </c>
      <c r="L168" s="23">
        <v>1</v>
      </c>
      <c r="M168" s="24">
        <f>IF(MAX(0,ROUNDUP(F168*2-I168,0))=0,"",MAX(0,ROUNDUP(F168*2-I168,0)))</f>
        <v>1</v>
      </c>
    </row>
    <row r="169" spans="1:13" x14ac:dyDescent="0.25">
      <c r="A169" s="16" t="s">
        <v>341</v>
      </c>
      <c r="B169" s="16" t="s">
        <v>342</v>
      </c>
      <c r="C169" s="17">
        <v>1</v>
      </c>
      <c r="D169" s="17" t="s">
        <v>1</v>
      </c>
      <c r="E169" s="18">
        <v>1</v>
      </c>
      <c r="F169" s="17">
        <v>1</v>
      </c>
      <c r="G169" s="19" t="s">
        <v>1</v>
      </c>
      <c r="H169" s="17" t="s">
        <v>1</v>
      </c>
      <c r="I169" s="20">
        <v>1</v>
      </c>
      <c r="J169" s="21">
        <v>18</v>
      </c>
      <c r="K169" s="22">
        <v>1</v>
      </c>
      <c r="L169" s="23">
        <v>1</v>
      </c>
      <c r="M169" s="24">
        <f>IF(MAX(0,ROUNDUP(F169*2-I169,0))=0,"",MAX(0,ROUNDUP(F169*2-I169,0)))</f>
        <v>1</v>
      </c>
    </row>
    <row r="170" spans="1:13" x14ac:dyDescent="0.25">
      <c r="A170" s="16" t="s">
        <v>343</v>
      </c>
      <c r="B170" s="16" t="s">
        <v>344</v>
      </c>
      <c r="C170" s="17">
        <v>1</v>
      </c>
      <c r="D170" s="17" t="s">
        <v>1</v>
      </c>
      <c r="E170" s="18">
        <v>1</v>
      </c>
      <c r="F170" s="17">
        <v>1</v>
      </c>
      <c r="G170" s="19" t="s">
        <v>1</v>
      </c>
      <c r="H170" s="17" t="s">
        <v>1</v>
      </c>
      <c r="I170" s="20">
        <v>1</v>
      </c>
      <c r="J170" s="21">
        <v>18</v>
      </c>
      <c r="K170" s="22">
        <v>1</v>
      </c>
      <c r="L170" s="23">
        <v>1</v>
      </c>
      <c r="M170" s="24">
        <f>IF(MAX(0,ROUNDUP(F170*2-I170,0))=0,"",MAX(0,ROUNDUP(F170*2-I170,0)))</f>
        <v>1</v>
      </c>
    </row>
    <row r="171" spans="1:13" x14ac:dyDescent="0.25">
      <c r="A171" s="16" t="s">
        <v>345</v>
      </c>
      <c r="B171" s="16" t="s">
        <v>346</v>
      </c>
      <c r="C171" s="17">
        <v>1</v>
      </c>
      <c r="D171" s="17" t="s">
        <v>1</v>
      </c>
      <c r="E171" s="18">
        <v>1</v>
      </c>
      <c r="F171" s="17">
        <v>1</v>
      </c>
      <c r="G171" s="19" t="s">
        <v>1</v>
      </c>
      <c r="H171" s="17" t="s">
        <v>1</v>
      </c>
      <c r="I171" s="20">
        <v>1</v>
      </c>
      <c r="J171" s="21">
        <v>18</v>
      </c>
      <c r="K171" s="22">
        <v>1</v>
      </c>
      <c r="L171" s="23">
        <v>1</v>
      </c>
      <c r="M171" s="24">
        <f>IF(MAX(0,ROUNDUP(F171*2-I171,0))=0,"",MAX(0,ROUNDUP(F171*2-I171,0)))</f>
        <v>1</v>
      </c>
    </row>
    <row r="172" spans="1:13" x14ac:dyDescent="0.25">
      <c r="A172" s="16" t="s">
        <v>347</v>
      </c>
      <c r="B172" s="16" t="s">
        <v>348</v>
      </c>
      <c r="C172" s="17">
        <v>1</v>
      </c>
      <c r="D172" s="17" t="s">
        <v>1</v>
      </c>
      <c r="E172" s="18">
        <v>1</v>
      </c>
      <c r="F172" s="17">
        <v>1</v>
      </c>
      <c r="G172" s="19" t="s">
        <v>1</v>
      </c>
      <c r="H172" s="17" t="s">
        <v>1</v>
      </c>
      <c r="I172" s="20">
        <v>1</v>
      </c>
      <c r="J172" s="21">
        <v>18</v>
      </c>
      <c r="K172" s="22">
        <v>1</v>
      </c>
      <c r="L172" s="23">
        <v>1</v>
      </c>
      <c r="M172" s="24">
        <f>IF(MAX(0,ROUNDUP(F172*2-I172,0))=0,"",MAX(0,ROUNDUP(F172*2-I172,0)))</f>
        <v>1</v>
      </c>
    </row>
    <row r="173" spans="1:13" x14ac:dyDescent="0.25">
      <c r="A173" s="16" t="s">
        <v>349</v>
      </c>
      <c r="B173" s="16" t="s">
        <v>350</v>
      </c>
      <c r="C173" s="17">
        <v>1</v>
      </c>
      <c r="D173" s="17">
        <v>1</v>
      </c>
      <c r="E173" s="18">
        <v>1</v>
      </c>
      <c r="F173" s="17">
        <v>1</v>
      </c>
      <c r="G173" s="19" t="s">
        <v>1</v>
      </c>
      <c r="H173" s="17">
        <v>1</v>
      </c>
      <c r="I173" s="20">
        <v>2</v>
      </c>
      <c r="J173" s="21">
        <v>36</v>
      </c>
      <c r="K173" s="22">
        <v>0.5</v>
      </c>
      <c r="L173" s="23">
        <v>1</v>
      </c>
      <c r="M173" s="24" t="str">
        <f>IF(MAX(0,ROUNDUP(F173*2-I173,0))=0,"",MAX(0,ROUNDUP(F173*2-I173,0)))</f>
        <v/>
      </c>
    </row>
    <row r="174" spans="1:13" x14ac:dyDescent="0.25">
      <c r="A174" s="16" t="s">
        <v>351</v>
      </c>
      <c r="B174" s="16" t="s">
        <v>352</v>
      </c>
      <c r="C174" s="17">
        <v>3</v>
      </c>
      <c r="D174" s="17" t="s">
        <v>1</v>
      </c>
      <c r="E174" s="18">
        <v>3</v>
      </c>
      <c r="F174" s="17">
        <v>3</v>
      </c>
      <c r="G174" s="19" t="s">
        <v>1</v>
      </c>
      <c r="H174" s="17" t="s">
        <v>1</v>
      </c>
      <c r="I174" s="20">
        <v>1</v>
      </c>
      <c r="J174" s="21">
        <v>18</v>
      </c>
      <c r="K174" s="22">
        <v>1</v>
      </c>
      <c r="L174" s="23">
        <v>6</v>
      </c>
      <c r="M174" s="24">
        <f>IF(MAX(0,ROUNDUP(F174*2-I174,0))=0,"",MAX(0,ROUNDUP(F174*2-I174,0)))</f>
        <v>5</v>
      </c>
    </row>
    <row r="175" spans="1:13" x14ac:dyDescent="0.25">
      <c r="A175" s="16" t="s">
        <v>353</v>
      </c>
      <c r="B175" s="16" t="s">
        <v>354</v>
      </c>
      <c r="C175" s="17">
        <v>3</v>
      </c>
      <c r="D175" s="17" t="s">
        <v>1</v>
      </c>
      <c r="E175" s="18">
        <v>3</v>
      </c>
      <c r="F175" s="17">
        <v>3</v>
      </c>
      <c r="G175" s="19" t="s">
        <v>1</v>
      </c>
      <c r="H175" s="17" t="s">
        <v>1</v>
      </c>
      <c r="I175" s="20">
        <v>1</v>
      </c>
      <c r="J175" s="21">
        <v>18</v>
      </c>
      <c r="K175" s="22">
        <v>1</v>
      </c>
      <c r="L175" s="23">
        <v>6</v>
      </c>
      <c r="M175" s="24">
        <f>IF(MAX(0,ROUNDUP(F175*2-I175,0))=0,"",MAX(0,ROUNDUP(F175*2-I175,0)))</f>
        <v>5</v>
      </c>
    </row>
    <row r="176" spans="1:13" x14ac:dyDescent="0.25">
      <c r="A176" s="16" t="s">
        <v>355</v>
      </c>
      <c r="B176" s="16" t="s">
        <v>356</v>
      </c>
      <c r="C176" s="17" t="s">
        <v>1</v>
      </c>
      <c r="D176" s="17">
        <v>1</v>
      </c>
      <c r="E176" s="18">
        <v>1</v>
      </c>
      <c r="F176" s="17">
        <v>1</v>
      </c>
      <c r="G176" s="19" t="s">
        <v>1</v>
      </c>
      <c r="H176" s="17" t="s">
        <v>1</v>
      </c>
      <c r="I176" s="20">
        <v>1</v>
      </c>
      <c r="J176" s="21">
        <v>18</v>
      </c>
      <c r="K176" s="22">
        <v>1</v>
      </c>
      <c r="L176" s="23">
        <v>1</v>
      </c>
      <c r="M176" s="24">
        <f>IF(MAX(0,ROUNDUP(F176*2-I176,0))=0,"",MAX(0,ROUNDUP(F176*2-I176,0)))</f>
        <v>1</v>
      </c>
    </row>
    <row r="177" spans="1:13" x14ac:dyDescent="0.25">
      <c r="A177" s="16" t="s">
        <v>357</v>
      </c>
      <c r="B177" s="16" t="s">
        <v>358</v>
      </c>
      <c r="C177" s="17">
        <v>1</v>
      </c>
      <c r="D177" s="17" t="s">
        <v>1</v>
      </c>
      <c r="E177" s="18">
        <v>1</v>
      </c>
      <c r="F177" s="17">
        <v>1</v>
      </c>
      <c r="G177" s="19" t="s">
        <v>1</v>
      </c>
      <c r="H177" s="17" t="s">
        <v>1</v>
      </c>
      <c r="I177" s="20">
        <v>1</v>
      </c>
      <c r="J177" s="21">
        <v>18</v>
      </c>
      <c r="K177" s="22">
        <v>1</v>
      </c>
      <c r="L177" s="23">
        <v>3</v>
      </c>
      <c r="M177" s="24">
        <f>IF(MAX(0,ROUNDUP(F177*2-I177,0))=0,"",MAX(0,ROUNDUP(F177*2-I177,0)))</f>
        <v>1</v>
      </c>
    </row>
    <row r="178" spans="1:13" x14ac:dyDescent="0.25">
      <c r="A178" s="16" t="s">
        <v>359</v>
      </c>
      <c r="B178" s="16" t="s">
        <v>360</v>
      </c>
      <c r="C178" s="17">
        <v>2</v>
      </c>
      <c r="D178" s="17">
        <v>2</v>
      </c>
      <c r="E178" s="18">
        <v>2</v>
      </c>
      <c r="F178" s="17">
        <v>2</v>
      </c>
      <c r="G178" s="19" t="s">
        <v>1</v>
      </c>
      <c r="H178" s="17">
        <v>2</v>
      </c>
      <c r="I178" s="20">
        <v>2</v>
      </c>
      <c r="J178" s="21">
        <v>36</v>
      </c>
      <c r="K178" s="22">
        <v>0.5</v>
      </c>
      <c r="L178" s="23">
        <v>2</v>
      </c>
      <c r="M178" s="24">
        <f>IF(MAX(0,ROUNDUP(F178*2-I178,0))=0,"",MAX(0,ROUNDUP(F178*2-I178,0)))</f>
        <v>2</v>
      </c>
    </row>
    <row r="179" spans="1:13" x14ac:dyDescent="0.25">
      <c r="A179" s="16" t="s">
        <v>361</v>
      </c>
      <c r="B179" s="16" t="s">
        <v>362</v>
      </c>
      <c r="C179" s="17">
        <v>1</v>
      </c>
      <c r="D179" s="17">
        <v>1</v>
      </c>
      <c r="E179" s="18">
        <v>1</v>
      </c>
      <c r="F179" s="17">
        <v>1</v>
      </c>
      <c r="G179" s="19" t="s">
        <v>1</v>
      </c>
      <c r="H179" s="17">
        <v>1</v>
      </c>
      <c r="I179" s="20">
        <v>2</v>
      </c>
      <c r="J179" s="21">
        <v>36</v>
      </c>
      <c r="K179" s="22">
        <v>0.5</v>
      </c>
      <c r="L179" s="23">
        <v>1</v>
      </c>
      <c r="M179" s="24" t="str">
        <f>IF(MAX(0,ROUNDUP(F179*2-I179,0))=0,"",MAX(0,ROUNDUP(F179*2-I179,0)))</f>
        <v/>
      </c>
    </row>
    <row r="180" spans="1:13" x14ac:dyDescent="0.25">
      <c r="A180" s="16" t="s">
        <v>363</v>
      </c>
      <c r="B180" s="16" t="s">
        <v>364</v>
      </c>
      <c r="C180" s="17">
        <v>4</v>
      </c>
      <c r="D180" s="17" t="s">
        <v>1</v>
      </c>
      <c r="E180" s="18">
        <v>4</v>
      </c>
      <c r="F180" s="17">
        <v>4</v>
      </c>
      <c r="G180" s="19" t="s">
        <v>1</v>
      </c>
      <c r="H180" s="17" t="s">
        <v>1</v>
      </c>
      <c r="I180" s="20">
        <v>1</v>
      </c>
      <c r="J180" s="21">
        <v>18</v>
      </c>
      <c r="K180" s="22">
        <v>1</v>
      </c>
      <c r="L180" s="23">
        <v>4</v>
      </c>
      <c r="M180" s="24">
        <f>IF(MAX(0,ROUNDUP(F180*2-I180,0))=0,"",MAX(0,ROUNDUP(F180*2-I180,0)))</f>
        <v>7</v>
      </c>
    </row>
    <row r="181" spans="1:13" x14ac:dyDescent="0.25">
      <c r="A181" s="16" t="s">
        <v>365</v>
      </c>
      <c r="B181" s="16" t="s">
        <v>366</v>
      </c>
      <c r="C181" s="17">
        <v>2</v>
      </c>
      <c r="D181" s="17" t="s">
        <v>1</v>
      </c>
      <c r="E181" s="18">
        <v>1</v>
      </c>
      <c r="F181" s="17">
        <v>1</v>
      </c>
      <c r="G181" s="19" t="s">
        <v>1</v>
      </c>
      <c r="H181" s="17">
        <v>1</v>
      </c>
      <c r="I181" s="20">
        <v>2</v>
      </c>
      <c r="J181" s="21">
        <v>36</v>
      </c>
      <c r="K181" s="22">
        <v>0.5</v>
      </c>
      <c r="L181" s="23">
        <v>1</v>
      </c>
      <c r="M181" s="24" t="str">
        <f>IF(MAX(0,ROUNDUP(F181*2-I181,0))=0,"",MAX(0,ROUNDUP(F181*2-I181,0)))</f>
        <v/>
      </c>
    </row>
    <row r="182" spans="1:13" x14ac:dyDescent="0.25">
      <c r="A182" s="16" t="s">
        <v>367</v>
      </c>
      <c r="B182" s="16" t="s">
        <v>368</v>
      </c>
      <c r="C182" s="17">
        <v>2</v>
      </c>
      <c r="D182" s="17" t="s">
        <v>1</v>
      </c>
      <c r="E182" s="18">
        <v>1</v>
      </c>
      <c r="F182" s="17">
        <v>1</v>
      </c>
      <c r="G182" s="19" t="s">
        <v>1</v>
      </c>
      <c r="H182" s="17">
        <v>1</v>
      </c>
      <c r="I182" s="20">
        <v>2</v>
      </c>
      <c r="J182" s="21">
        <v>36</v>
      </c>
      <c r="K182" s="22">
        <v>0.5</v>
      </c>
      <c r="L182" s="23">
        <v>2</v>
      </c>
      <c r="M182" s="24" t="str">
        <f>IF(MAX(0,ROUNDUP(F182*2-I182,0))=0,"",MAX(0,ROUNDUP(F182*2-I182,0)))</f>
        <v/>
      </c>
    </row>
    <row r="183" spans="1:13" x14ac:dyDescent="0.25">
      <c r="A183" s="16" t="s">
        <v>369</v>
      </c>
      <c r="B183" s="16" t="s">
        <v>370</v>
      </c>
      <c r="C183" s="17">
        <v>2</v>
      </c>
      <c r="D183" s="17" t="s">
        <v>1</v>
      </c>
      <c r="E183" s="18">
        <v>1</v>
      </c>
      <c r="F183" s="17">
        <v>1</v>
      </c>
      <c r="G183" s="19" t="s">
        <v>1</v>
      </c>
      <c r="H183" s="17">
        <v>1</v>
      </c>
      <c r="I183" s="20">
        <v>2</v>
      </c>
      <c r="J183" s="21">
        <v>36</v>
      </c>
      <c r="K183" s="22">
        <v>0.5</v>
      </c>
      <c r="L183" s="23">
        <v>2</v>
      </c>
      <c r="M183" s="24" t="str">
        <f>IF(MAX(0,ROUNDUP(F183*2-I183,0))=0,"",MAX(0,ROUNDUP(F183*2-I183,0)))</f>
        <v/>
      </c>
    </row>
    <row r="184" spans="1:13" x14ac:dyDescent="0.25">
      <c r="A184" s="16" t="s">
        <v>371</v>
      </c>
      <c r="B184" s="16" t="s">
        <v>372</v>
      </c>
      <c r="C184" s="17">
        <v>7</v>
      </c>
      <c r="D184" s="17">
        <v>15</v>
      </c>
      <c r="E184" s="18">
        <v>12</v>
      </c>
      <c r="F184" s="17">
        <v>12</v>
      </c>
      <c r="G184" s="19" t="s">
        <v>1</v>
      </c>
      <c r="H184" s="17">
        <v>10</v>
      </c>
      <c r="I184" s="20">
        <v>1.833333333333333</v>
      </c>
      <c r="J184" s="21">
        <v>33</v>
      </c>
      <c r="K184" s="22">
        <v>0.5454545454545454</v>
      </c>
      <c r="L184" s="23">
        <v>8</v>
      </c>
      <c r="M184" s="24">
        <f>IF(MAX(0,ROUNDUP(F184*2-I184,0))=0,"",MAX(0,ROUNDUP(F184*2-I184,0)))</f>
        <v>23</v>
      </c>
    </row>
    <row r="185" spans="1:13" x14ac:dyDescent="0.25">
      <c r="A185" s="16" t="s">
        <v>373</v>
      </c>
      <c r="B185" s="16" t="s">
        <v>374</v>
      </c>
      <c r="C185" s="17">
        <v>7</v>
      </c>
      <c r="D185" s="17" t="s">
        <v>1</v>
      </c>
      <c r="E185" s="18">
        <v>7</v>
      </c>
      <c r="F185" s="17">
        <v>7</v>
      </c>
      <c r="G185" s="19" t="s">
        <v>1</v>
      </c>
      <c r="H185" s="17" t="s">
        <v>1</v>
      </c>
      <c r="I185" s="20">
        <v>1</v>
      </c>
      <c r="J185" s="21">
        <v>18</v>
      </c>
      <c r="K185" s="22">
        <v>1</v>
      </c>
      <c r="L185" s="23">
        <v>17</v>
      </c>
      <c r="M185" s="24">
        <f>IF(MAX(0,ROUNDUP(F185*2-I185,0))=0,"",MAX(0,ROUNDUP(F185*2-I185,0)))</f>
        <v>13</v>
      </c>
    </row>
    <row r="186" spans="1:13" x14ac:dyDescent="0.25">
      <c r="A186" s="16" t="s">
        <v>375</v>
      </c>
      <c r="B186" s="16" t="s">
        <v>376</v>
      </c>
      <c r="C186" s="17">
        <v>2</v>
      </c>
      <c r="D186" s="17" t="s">
        <v>1</v>
      </c>
      <c r="E186" s="18">
        <v>1</v>
      </c>
      <c r="F186" s="17">
        <v>1</v>
      </c>
      <c r="G186" s="19" t="s">
        <v>1</v>
      </c>
      <c r="H186" s="17">
        <v>1</v>
      </c>
      <c r="I186" s="20">
        <v>2</v>
      </c>
      <c r="J186" s="21">
        <v>36</v>
      </c>
      <c r="K186" s="22">
        <v>0.5</v>
      </c>
      <c r="L186" s="23">
        <v>1</v>
      </c>
      <c r="M186" s="24" t="str">
        <f>IF(MAX(0,ROUNDUP(F186*2-I186,0))=0,"",MAX(0,ROUNDUP(F186*2-I186,0)))</f>
        <v/>
      </c>
    </row>
    <row r="187" spans="1:13" x14ac:dyDescent="0.25">
      <c r="A187" s="16" t="s">
        <v>377</v>
      </c>
      <c r="B187" s="16" t="s">
        <v>378</v>
      </c>
      <c r="C187" s="17">
        <v>2</v>
      </c>
      <c r="D187" s="17" t="s">
        <v>1</v>
      </c>
      <c r="E187" s="18">
        <v>1</v>
      </c>
      <c r="F187" s="17">
        <v>1</v>
      </c>
      <c r="G187" s="19" t="s">
        <v>1</v>
      </c>
      <c r="H187" s="17">
        <v>1</v>
      </c>
      <c r="I187" s="20">
        <v>2</v>
      </c>
      <c r="J187" s="21">
        <v>36</v>
      </c>
      <c r="K187" s="22">
        <v>0.5</v>
      </c>
      <c r="L187" s="23">
        <v>1</v>
      </c>
      <c r="M187" s="24" t="str">
        <f>IF(MAX(0,ROUNDUP(F187*2-I187,0))=0,"",MAX(0,ROUNDUP(F187*2-I187,0)))</f>
        <v/>
      </c>
    </row>
    <row r="188" spans="1:13" x14ac:dyDescent="0.25">
      <c r="A188" s="16" t="s">
        <v>379</v>
      </c>
      <c r="B188" s="16" t="s">
        <v>380</v>
      </c>
      <c r="C188" s="17">
        <v>4</v>
      </c>
      <c r="D188" s="17" t="s">
        <v>1</v>
      </c>
      <c r="E188" s="18">
        <v>3</v>
      </c>
      <c r="F188" s="17">
        <v>3</v>
      </c>
      <c r="G188" s="19" t="s">
        <v>1</v>
      </c>
      <c r="H188" s="17">
        <v>1</v>
      </c>
      <c r="I188" s="20">
        <v>1.333333333333333</v>
      </c>
      <c r="J188" s="21">
        <v>24</v>
      </c>
      <c r="K188" s="22">
        <v>0.75</v>
      </c>
      <c r="L188" s="23">
        <v>5</v>
      </c>
      <c r="M188" s="24">
        <f>IF(MAX(0,ROUNDUP(F188*2-I188,0))=0,"",MAX(0,ROUNDUP(F188*2-I188,0)))</f>
        <v>5</v>
      </c>
    </row>
    <row r="189" spans="1:13" x14ac:dyDescent="0.25">
      <c r="A189" s="16" t="s">
        <v>381</v>
      </c>
      <c r="B189" s="16" t="s">
        <v>382</v>
      </c>
      <c r="C189" s="17">
        <v>2</v>
      </c>
      <c r="D189" s="17" t="s">
        <v>1</v>
      </c>
      <c r="E189" s="18">
        <v>1</v>
      </c>
      <c r="F189" s="17">
        <v>1</v>
      </c>
      <c r="G189" s="19" t="s">
        <v>1</v>
      </c>
      <c r="H189" s="17">
        <v>1</v>
      </c>
      <c r="I189" s="20">
        <v>2</v>
      </c>
      <c r="J189" s="21">
        <v>36</v>
      </c>
      <c r="K189" s="22">
        <v>0.5</v>
      </c>
      <c r="L189" s="23">
        <v>3</v>
      </c>
      <c r="M189" s="24" t="str">
        <f>IF(MAX(0,ROUNDUP(F189*2-I189,0))=0,"",MAX(0,ROUNDUP(F189*2-I189,0)))</f>
        <v/>
      </c>
    </row>
    <row r="190" spans="1:13" x14ac:dyDescent="0.25">
      <c r="A190" s="16" t="s">
        <v>383</v>
      </c>
      <c r="B190" s="16" t="s">
        <v>384</v>
      </c>
      <c r="C190" s="17">
        <v>2</v>
      </c>
      <c r="D190" s="17" t="s">
        <v>1</v>
      </c>
      <c r="E190" s="18">
        <v>2</v>
      </c>
      <c r="F190" s="17">
        <v>2</v>
      </c>
      <c r="G190" s="19" t="s">
        <v>1</v>
      </c>
      <c r="H190" s="17" t="s">
        <v>1</v>
      </c>
      <c r="I190" s="20">
        <v>1</v>
      </c>
      <c r="J190" s="21">
        <v>18</v>
      </c>
      <c r="K190" s="22">
        <v>1</v>
      </c>
      <c r="L190" s="23">
        <v>4</v>
      </c>
      <c r="M190" s="24">
        <f>IF(MAX(0,ROUNDUP(F190*2-I190,0))=0,"",MAX(0,ROUNDUP(F190*2-I190,0)))</f>
        <v>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Замовлення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2026-09-03T03:37:17Z</dcterms:created>
  <dcterms:modified xsi:type="dcterms:W3CDTF">2026-09-03T03:37:17Z</dcterms:modified>
</cp:coreProperties>
</file>