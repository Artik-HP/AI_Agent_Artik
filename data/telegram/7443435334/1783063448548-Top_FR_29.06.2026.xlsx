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DF73C0D-45C3-4443-BC0A-D0EF863AA57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Аркуш1" sheetId="1" r:id="rId1"/>
  </sheets>
  <calcPr calcId="191028"/>
</workbook>
</file>

<file path=xl/calcChain.xml><?xml version="1.0" encoding="utf-8"?>
<calcChain xmlns="http://schemas.openxmlformats.org/spreadsheetml/2006/main">
  <c r="Q2" i="1" l="1"/>
  <c r="R2" i="1"/>
  <c r="Q24" i="1" l="1"/>
  <c r="R24" i="1" s="1"/>
  <c r="Q23" i="1" l="1"/>
  <c r="R23" i="1" s="1"/>
  <c r="Q20" i="1"/>
  <c r="R20" i="1" s="1"/>
  <c r="Q21" i="1"/>
  <c r="R21" i="1" s="1"/>
  <c r="Q22" i="1"/>
  <c r="R22" i="1" s="1"/>
  <c r="Q17" i="1"/>
  <c r="R17" i="1" s="1"/>
  <c r="C11" i="1"/>
  <c r="C10" i="1"/>
  <c r="Q16" i="1"/>
  <c r="R16" i="1" s="1"/>
  <c r="Q14" i="1"/>
  <c r="R14" i="1" s="1"/>
  <c r="Q15" i="1"/>
  <c r="R15" i="1" s="1"/>
  <c r="Q13" i="1"/>
  <c r="R13" i="1" s="1"/>
  <c r="Q5" i="1" l="1"/>
  <c r="R5" i="1" s="1"/>
  <c r="Q6" i="1"/>
  <c r="Q7" i="1"/>
  <c r="R7" i="1" s="1"/>
  <c r="Q8" i="1"/>
  <c r="Q9" i="1"/>
  <c r="R9" i="1" s="1"/>
  <c r="Q10" i="1"/>
  <c r="R10" i="1" s="1"/>
  <c r="Q11" i="1"/>
  <c r="R11" i="1" s="1"/>
  <c r="Q12" i="1"/>
  <c r="R12" i="1" s="1"/>
  <c r="Q18" i="1"/>
  <c r="R18" i="1" s="1"/>
  <c r="Q19" i="1"/>
  <c r="R19" i="1" s="1"/>
  <c r="Q4" i="1"/>
  <c r="R4" i="1" s="1"/>
  <c r="C8" i="1"/>
  <c r="C6" i="1"/>
  <c r="R8" i="1" l="1"/>
  <c r="R6" i="1"/>
</calcChain>
</file>

<file path=xl/sharedStrings.xml><?xml version="1.0" encoding="utf-8"?>
<sst xmlns="http://schemas.openxmlformats.org/spreadsheetml/2006/main" count="57" uniqueCount="56">
  <si>
    <t xml:space="preserve">Найменування </t>
  </si>
  <si>
    <t>Т1</t>
  </si>
  <si>
    <t>Т2</t>
  </si>
  <si>
    <t>Т3</t>
  </si>
  <si>
    <t>Т5</t>
  </si>
  <si>
    <t>Т6</t>
  </si>
  <si>
    <t>Т7</t>
  </si>
  <si>
    <t>Т8</t>
  </si>
  <si>
    <t>Т9</t>
  </si>
  <si>
    <t>Т10</t>
  </si>
  <si>
    <t>Т11</t>
  </si>
  <si>
    <t>Т12</t>
  </si>
  <si>
    <t>Х1</t>
  </si>
  <si>
    <t>Х2</t>
  </si>
  <si>
    <t>pr126-pack</t>
  </si>
  <si>
    <t>Презервативи безлатексні SKYN SELECTION мікс 9 шт</t>
  </si>
  <si>
    <t>pr37</t>
  </si>
  <si>
    <t>Презервативи безлатексні SKYN ORIGINAL 1 шт</t>
  </si>
  <si>
    <t xml:space="preserve"> Презервативи безлатексні SKYN ELITE 1 шт</t>
  </si>
  <si>
    <t>pr83</t>
  </si>
  <si>
    <t>Презервативи безлатексні SKYN LARGE 1 шт</t>
  </si>
  <si>
    <t>pr124</t>
  </si>
  <si>
    <t>Презервативи безлатексні SKYN INTENSE FEEL з ребрами 1шт</t>
  </si>
  <si>
    <t>pr94</t>
  </si>
  <si>
    <t>pr103</t>
  </si>
  <si>
    <t>Презервативи безлатексні SKYN INTENSE FEEl з ребрами 10 шт</t>
  </si>
  <si>
    <t>pr90</t>
  </si>
  <si>
    <t xml:space="preserve">Презервативи латексні OLO FEELING ультратонкі 10 шт </t>
  </si>
  <si>
    <t>ціна</t>
  </si>
  <si>
    <t>pr113-pack</t>
  </si>
  <si>
    <t>Презервативи безлатексні SKYN EXTRA LUBRICATED 10 шт</t>
  </si>
  <si>
    <t>pr192</t>
  </si>
  <si>
    <t>Прeзервативи латексні OLO BENEFIT ультратонкі з пролонгуючим ефектом 10 шт</t>
  </si>
  <si>
    <t>pr110</t>
  </si>
  <si>
    <t>Презервативи безлатексні SKYN EXTRA LUBRICATED 1 шт</t>
  </si>
  <si>
    <t>pr109-pack</t>
  </si>
  <si>
    <t>Презервативи безлатексні SKYN LARGE 10 шт</t>
  </si>
  <si>
    <t>pr173-pack</t>
  </si>
  <si>
    <t>Презервативи безлатексні SKYN ELITE 10 шт</t>
  </si>
  <si>
    <t>pr201</t>
  </si>
  <si>
    <t>pr142-pack</t>
  </si>
  <si>
    <t>Презервативи безлатексні SKYN SELECTION 30+5 шт набір</t>
  </si>
  <si>
    <t>Презервативи SKYN Original 10 шт</t>
  </si>
  <si>
    <t>Презервативи безлатексні SKYN ORIGINAL 10 шт</t>
  </si>
  <si>
    <t>pr95</t>
  </si>
  <si>
    <t>Презервативи безлатексні SKYN COCTAIL CLUB зі смаками відомих коктелів 1 шт</t>
  </si>
  <si>
    <t>pr105</t>
  </si>
  <si>
    <t>Презервативи латексні OLO ICE 10 шт ультратонкі з пролонгуючим ефектом 10 шт</t>
  </si>
  <si>
    <t>pr218</t>
  </si>
  <si>
    <t>Ультратонкі презервативи OLO 001 з гіалуроновою кислотою та ароматом сакури 10 шт</t>
  </si>
  <si>
    <t>pr216</t>
  </si>
  <si>
    <t>Ультратонкі презервативи OLO Gold Indian God Oil Set пролонгуючі з точковим рельєфом 10 шт</t>
  </si>
  <si>
    <t>pr204</t>
  </si>
  <si>
    <t>Презервативи латексні OLO GOLD Budda ультратонкі з ребрами 10 шт</t>
  </si>
  <si>
    <t>pr125-pack</t>
  </si>
  <si>
    <t>Презервативи безлатексні SKYN CLOSE FEEL облягаючі 10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</si>
</sst>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3" borderId="8" applyNumberFormat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3" xfId="0" applyBorder="1"/>
    <xf numFmtId="0" fontId="0" fillId="4" borderId="0" xfId="0" applyFill="1"/>
    <xf numFmtId="0" fontId="0" fillId="5" borderId="0" xfId="0" applyFill="1"/>
    <xf numFmtId="0" fontId="2" fillId="6" borderId="8" xfId="1" applyFill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Звичайний" xfId="0" builtinId="0"/>
    <cellStyle name="Результат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1EFD-88BA-D84B-8771-EE9A8A00434C}">
  <dimension ref="A1:AA24"/>
  <sheetViews>
    <sheetView tabSelected="1" zoomScale="98" zoomScaleNormal="98" zoomScaleSheetLayoutView="100" workbookViewId="0">
      <selection activeCell="Q24" sqref="Q24"/>
    </sheetView>
  </sheetViews>
  <sheetFormatPr defaultColWidth="8.796875" defaultRowHeight="13.8"/>
  <cols>
    <col min="1" max="1" width="14.296875" customWidth="1"/>
    <col min="2" max="2" width="52.69921875" customWidth="1"/>
  </cols>
  <sheetData>
    <row r="1" spans="1:27" ht="14.4" thickBot="1">
      <c r="B1" s="14"/>
      <c r="C1" s="14"/>
    </row>
    <row r="2" spans="1:27">
      <c r="A2" s="1"/>
      <c r="B2" s="12" t="s">
        <v>0</v>
      </c>
      <c r="C2" s="12" t="s">
        <v>28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10">
        <f>SUM(Q4:Q24)</f>
        <v>3225</v>
      </c>
      <c r="R2" s="8">
        <f>SUM(R4:R24)</f>
        <v>227384</v>
      </c>
    </row>
    <row r="3" spans="1:27" ht="14.4" thickBot="1">
      <c r="A3" s="2"/>
      <c r="B3" s="13"/>
      <c r="C3" s="13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11"/>
      <c r="R3" s="9"/>
    </row>
    <row r="4" spans="1:27" s="3" customFormat="1">
      <c r="A4" s="5" t="s">
        <v>16</v>
      </c>
      <c r="B4" s="5" t="s">
        <v>17</v>
      </c>
      <c r="C4" s="5">
        <v>21</v>
      </c>
      <c r="D4" s="5">
        <v>0</v>
      </c>
      <c r="E4" s="5">
        <v>0</v>
      </c>
      <c r="F4" s="5">
        <v>0</v>
      </c>
      <c r="G4" s="5">
        <v>44</v>
      </c>
      <c r="H4" s="5">
        <v>50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50</v>
      </c>
      <c r="Q4" s="5">
        <f>SUM(D4:P4)</f>
        <v>144</v>
      </c>
      <c r="R4" s="5">
        <f>C4*Q4</f>
        <v>3024</v>
      </c>
      <c r="S4"/>
      <c r="T4"/>
      <c r="U4"/>
      <c r="V4"/>
      <c r="W4"/>
      <c r="X4"/>
      <c r="Y4"/>
      <c r="Z4"/>
      <c r="AA4"/>
    </row>
    <row r="5" spans="1:27" s="3" customFormat="1">
      <c r="A5" s="5" t="s">
        <v>14</v>
      </c>
      <c r="B5" s="5" t="s">
        <v>15</v>
      </c>
      <c r="C5" s="5">
        <v>290</v>
      </c>
      <c r="D5" s="5">
        <v>0</v>
      </c>
      <c r="E5" s="5">
        <v>0</v>
      </c>
      <c r="F5" s="5">
        <v>0</v>
      </c>
      <c r="G5" s="5">
        <v>8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8</v>
      </c>
      <c r="P5" s="5">
        <v>1</v>
      </c>
      <c r="Q5" s="5">
        <f t="shared" ref="Q5:Q12" si="0">SUM(D5:P5)</f>
        <v>17</v>
      </c>
      <c r="R5" s="5">
        <f t="shared" ref="R5:R12" si="1">C5*Q5</f>
        <v>4930</v>
      </c>
      <c r="S5"/>
      <c r="T5"/>
      <c r="U5"/>
      <c r="V5"/>
      <c r="W5"/>
      <c r="X5"/>
      <c r="Y5"/>
      <c r="Z5"/>
      <c r="AA5"/>
    </row>
    <row r="6" spans="1:27" s="3" customFormat="1">
      <c r="A6" s="5" t="s">
        <v>19</v>
      </c>
      <c r="B6" s="5" t="s">
        <v>18</v>
      </c>
      <c r="C6" s="5">
        <f>980/36</f>
        <v>27.222222222222221</v>
      </c>
      <c r="D6" s="5">
        <v>216</v>
      </c>
      <c r="E6" s="5">
        <v>144</v>
      </c>
      <c r="F6" s="5">
        <v>72</v>
      </c>
      <c r="G6" s="5">
        <v>72</v>
      </c>
      <c r="H6" s="5">
        <v>144</v>
      </c>
      <c r="I6" s="5">
        <v>180</v>
      </c>
      <c r="J6" s="5">
        <v>180</v>
      </c>
      <c r="K6" s="5">
        <v>108</v>
      </c>
      <c r="L6" s="5">
        <v>72</v>
      </c>
      <c r="M6" s="5">
        <v>144</v>
      </c>
      <c r="N6" s="5">
        <v>0</v>
      </c>
      <c r="O6" s="5">
        <v>72</v>
      </c>
      <c r="P6" s="5">
        <v>288</v>
      </c>
      <c r="Q6" s="5">
        <f t="shared" si="0"/>
        <v>1692</v>
      </c>
      <c r="R6" s="5">
        <f t="shared" si="1"/>
        <v>46060</v>
      </c>
      <c r="S6"/>
      <c r="T6"/>
      <c r="U6"/>
      <c r="V6"/>
      <c r="W6"/>
      <c r="X6"/>
      <c r="Y6"/>
      <c r="Z6"/>
      <c r="AA6"/>
    </row>
    <row r="7" spans="1:27" s="3" customFormat="1">
      <c r="A7" s="5" t="s">
        <v>29</v>
      </c>
      <c r="B7" s="5" t="s">
        <v>30</v>
      </c>
      <c r="C7" s="5">
        <v>290</v>
      </c>
      <c r="D7" s="5">
        <v>5</v>
      </c>
      <c r="E7" s="5">
        <v>10</v>
      </c>
      <c r="F7" s="5">
        <v>10</v>
      </c>
      <c r="G7" s="5">
        <v>2</v>
      </c>
      <c r="H7" s="5">
        <v>2</v>
      </c>
      <c r="I7" s="5">
        <v>2</v>
      </c>
      <c r="J7" s="5">
        <v>5</v>
      </c>
      <c r="K7" s="5">
        <v>0</v>
      </c>
      <c r="L7" s="5">
        <v>3</v>
      </c>
      <c r="M7" s="5">
        <v>3</v>
      </c>
      <c r="N7" s="5">
        <v>0</v>
      </c>
      <c r="O7" s="5">
        <v>4</v>
      </c>
      <c r="P7" s="5">
        <v>15</v>
      </c>
      <c r="Q7" s="5">
        <f t="shared" si="0"/>
        <v>61</v>
      </c>
      <c r="R7" s="5">
        <f t="shared" si="1"/>
        <v>17690</v>
      </c>
      <c r="S7"/>
      <c r="T7"/>
      <c r="U7"/>
      <c r="V7"/>
      <c r="W7"/>
      <c r="X7"/>
      <c r="Y7"/>
      <c r="Z7"/>
      <c r="AA7"/>
    </row>
    <row r="8" spans="1:27" s="3" customFormat="1">
      <c r="A8" s="5" t="s">
        <v>33</v>
      </c>
      <c r="B8" s="5" t="s">
        <v>34</v>
      </c>
      <c r="C8" s="5">
        <f>650/24</f>
        <v>27.083333333333332</v>
      </c>
      <c r="D8" s="5">
        <v>0</v>
      </c>
      <c r="E8" s="5">
        <v>0</v>
      </c>
      <c r="F8" s="5">
        <v>24</v>
      </c>
      <c r="G8" s="5">
        <v>0</v>
      </c>
      <c r="H8" s="5">
        <v>0</v>
      </c>
      <c r="I8" s="5">
        <v>0</v>
      </c>
      <c r="J8" s="5">
        <v>0</v>
      </c>
      <c r="K8" s="5">
        <v>24</v>
      </c>
      <c r="L8" s="5">
        <v>24</v>
      </c>
      <c r="M8" s="5">
        <v>0</v>
      </c>
      <c r="N8" s="5">
        <v>0</v>
      </c>
      <c r="O8" s="5">
        <v>0</v>
      </c>
      <c r="P8" s="5">
        <v>24</v>
      </c>
      <c r="Q8" s="5">
        <f t="shared" si="0"/>
        <v>96</v>
      </c>
      <c r="R8" s="5">
        <f t="shared" si="1"/>
        <v>2600</v>
      </c>
      <c r="S8"/>
      <c r="T8"/>
      <c r="U8"/>
      <c r="V8"/>
      <c r="W8"/>
      <c r="X8"/>
      <c r="Y8"/>
      <c r="Z8"/>
      <c r="AA8"/>
    </row>
    <row r="9" spans="1:27" s="3" customFormat="1">
      <c r="A9" s="5" t="s">
        <v>35</v>
      </c>
      <c r="B9" s="5" t="s">
        <v>36</v>
      </c>
      <c r="C9" s="5">
        <v>290</v>
      </c>
      <c r="D9" s="5">
        <v>15</v>
      </c>
      <c r="E9" s="5">
        <v>10</v>
      </c>
      <c r="F9" s="5">
        <v>2</v>
      </c>
      <c r="G9" s="5">
        <v>0</v>
      </c>
      <c r="H9" s="5">
        <v>0</v>
      </c>
      <c r="I9" s="5">
        <v>2</v>
      </c>
      <c r="J9" s="5">
        <v>2</v>
      </c>
      <c r="K9" s="5">
        <v>3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f t="shared" si="0"/>
        <v>34</v>
      </c>
      <c r="R9" s="5">
        <f t="shared" si="1"/>
        <v>9860</v>
      </c>
      <c r="S9"/>
      <c r="T9"/>
      <c r="U9"/>
      <c r="V9"/>
      <c r="W9"/>
      <c r="X9"/>
      <c r="Y9"/>
      <c r="Z9"/>
      <c r="AA9"/>
    </row>
    <row r="10" spans="1:27" s="3" customFormat="1" ht="16.05" customHeight="1">
      <c r="A10" s="5" t="s">
        <v>21</v>
      </c>
      <c r="B10" s="5" t="s">
        <v>20</v>
      </c>
      <c r="C10" s="5">
        <f>980/36</f>
        <v>27.222222222222221</v>
      </c>
      <c r="D10" s="5">
        <v>36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36</v>
      </c>
      <c r="L10" s="5">
        <v>0</v>
      </c>
      <c r="M10" s="5">
        <v>0</v>
      </c>
      <c r="N10" s="5">
        <v>0</v>
      </c>
      <c r="O10" s="5">
        <v>0</v>
      </c>
      <c r="P10" s="5">
        <v>72</v>
      </c>
      <c r="Q10" s="5">
        <f t="shared" si="0"/>
        <v>144</v>
      </c>
      <c r="R10" s="5">
        <f t="shared" si="1"/>
        <v>3920</v>
      </c>
      <c r="S10"/>
      <c r="T10"/>
      <c r="U10"/>
      <c r="V10"/>
      <c r="W10"/>
      <c r="X10"/>
      <c r="Y10"/>
      <c r="Z10"/>
      <c r="AA10"/>
    </row>
    <row r="11" spans="1:27" s="3" customFormat="1">
      <c r="A11" s="5" t="s">
        <v>23</v>
      </c>
      <c r="B11" s="5" t="s">
        <v>22</v>
      </c>
      <c r="C11" s="5">
        <f>980/36</f>
        <v>27.222222222222221</v>
      </c>
      <c r="D11" s="5">
        <v>0</v>
      </c>
      <c r="E11" s="5">
        <v>36</v>
      </c>
      <c r="F11" s="5">
        <v>72</v>
      </c>
      <c r="G11" s="5">
        <v>72</v>
      </c>
      <c r="H11" s="5">
        <v>0</v>
      </c>
      <c r="I11" s="5">
        <v>72</v>
      </c>
      <c r="J11" s="5">
        <v>36</v>
      </c>
      <c r="K11" s="5">
        <v>0</v>
      </c>
      <c r="L11" s="5">
        <v>36</v>
      </c>
      <c r="M11" s="5">
        <v>0</v>
      </c>
      <c r="N11" s="5">
        <v>0</v>
      </c>
      <c r="O11" s="5">
        <v>36</v>
      </c>
      <c r="P11" s="5">
        <v>72</v>
      </c>
      <c r="Q11" s="5">
        <f t="shared" si="0"/>
        <v>432</v>
      </c>
      <c r="R11" s="5">
        <f t="shared" si="1"/>
        <v>11760</v>
      </c>
      <c r="S11"/>
      <c r="T11"/>
      <c r="U11"/>
      <c r="V11"/>
      <c r="W11"/>
      <c r="X11"/>
      <c r="Y11"/>
      <c r="Z11"/>
      <c r="AA11"/>
    </row>
    <row r="12" spans="1:27" s="3" customFormat="1">
      <c r="A12" s="5" t="s">
        <v>24</v>
      </c>
      <c r="B12" s="5" t="s">
        <v>25</v>
      </c>
      <c r="C12" s="5">
        <v>340</v>
      </c>
      <c r="D12" s="5">
        <v>2</v>
      </c>
      <c r="E12" s="5">
        <v>2</v>
      </c>
      <c r="F12" s="5">
        <v>10</v>
      </c>
      <c r="G12" s="5">
        <v>0</v>
      </c>
      <c r="H12" s="5">
        <v>0</v>
      </c>
      <c r="I12" s="5">
        <v>5</v>
      </c>
      <c r="J12" s="5">
        <v>10</v>
      </c>
      <c r="K12" s="5">
        <v>2</v>
      </c>
      <c r="L12" s="5">
        <v>2</v>
      </c>
      <c r="M12" s="5">
        <v>2</v>
      </c>
      <c r="N12" s="5">
        <v>2</v>
      </c>
      <c r="O12" s="5">
        <v>0</v>
      </c>
      <c r="P12" s="5">
        <v>8</v>
      </c>
      <c r="Q12" s="5">
        <f t="shared" si="0"/>
        <v>45</v>
      </c>
      <c r="R12" s="5">
        <f t="shared" si="1"/>
        <v>15300</v>
      </c>
      <c r="S12"/>
      <c r="T12"/>
      <c r="U12"/>
      <c r="V12"/>
      <c r="W12"/>
      <c r="X12"/>
      <c r="Y12"/>
      <c r="Z12"/>
      <c r="AA12"/>
    </row>
    <row r="13" spans="1:27">
      <c r="A13" s="5" t="s">
        <v>37</v>
      </c>
      <c r="B13" s="5" t="s">
        <v>38</v>
      </c>
      <c r="C13" s="5">
        <v>335</v>
      </c>
      <c r="D13" s="5">
        <v>0</v>
      </c>
      <c r="E13" s="5">
        <v>0</v>
      </c>
      <c r="F13" s="5">
        <v>6</v>
      </c>
      <c r="G13" s="5">
        <v>4</v>
      </c>
      <c r="H13" s="5">
        <v>7</v>
      </c>
      <c r="I13" s="5">
        <v>0</v>
      </c>
      <c r="J13" s="5">
        <v>12</v>
      </c>
      <c r="K13" s="5">
        <v>6</v>
      </c>
      <c r="L13" s="5">
        <v>2</v>
      </c>
      <c r="M13" s="5">
        <v>13</v>
      </c>
      <c r="N13" s="5">
        <v>0</v>
      </c>
      <c r="O13" s="5">
        <v>15</v>
      </c>
      <c r="P13" s="5">
        <v>25</v>
      </c>
      <c r="Q13" s="5">
        <f t="shared" ref="Q13:Q19" si="2">SUM(D13:P13)</f>
        <v>90</v>
      </c>
      <c r="R13" s="5">
        <f t="shared" ref="R13:R19" si="3">C13*Q13</f>
        <v>30150</v>
      </c>
    </row>
    <row r="14" spans="1:27">
      <c r="A14" s="5" t="s">
        <v>39</v>
      </c>
      <c r="B14" s="5" t="s">
        <v>42</v>
      </c>
      <c r="C14" s="5">
        <v>290</v>
      </c>
      <c r="D14" s="5">
        <v>0</v>
      </c>
      <c r="E14" s="5">
        <v>0</v>
      </c>
      <c r="F14" s="5">
        <v>7</v>
      </c>
      <c r="G14" s="5">
        <v>0</v>
      </c>
      <c r="H14" s="5">
        <v>10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8</v>
      </c>
      <c r="P14" s="5">
        <v>0</v>
      </c>
      <c r="Q14" s="5">
        <f t="shared" si="2"/>
        <v>25</v>
      </c>
      <c r="R14" s="5">
        <f t="shared" si="3"/>
        <v>7250</v>
      </c>
    </row>
    <row r="15" spans="1:27">
      <c r="A15" s="5" t="s">
        <v>40</v>
      </c>
      <c r="B15" s="5" t="s">
        <v>41</v>
      </c>
      <c r="C15" s="5">
        <v>810</v>
      </c>
      <c r="D15" s="5">
        <v>0</v>
      </c>
      <c r="E15" s="5">
        <v>0</v>
      </c>
      <c r="F15" s="5">
        <v>3</v>
      </c>
      <c r="G15" s="5">
        <v>3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2</v>
      </c>
      <c r="N15" s="5">
        <v>0</v>
      </c>
      <c r="O15" s="5">
        <v>4</v>
      </c>
      <c r="P15" s="5">
        <v>0</v>
      </c>
      <c r="Q15" s="5">
        <f t="shared" si="2"/>
        <v>13</v>
      </c>
      <c r="R15" s="5">
        <f t="shared" si="3"/>
        <v>10530</v>
      </c>
    </row>
    <row r="16" spans="1:27" s="3" customFormat="1">
      <c r="A16" s="5" t="s">
        <v>39</v>
      </c>
      <c r="B16" s="5" t="s">
        <v>43</v>
      </c>
      <c r="C16" s="5">
        <v>290</v>
      </c>
      <c r="D16" s="5">
        <v>0</v>
      </c>
      <c r="E16" s="5">
        <v>0</v>
      </c>
      <c r="F16" s="5">
        <v>8</v>
      </c>
      <c r="G16" s="5">
        <v>0</v>
      </c>
      <c r="H16" s="5">
        <v>6</v>
      </c>
      <c r="I16" s="5">
        <v>6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10</v>
      </c>
      <c r="P16" s="5">
        <v>0</v>
      </c>
      <c r="Q16" s="5">
        <f t="shared" si="2"/>
        <v>30</v>
      </c>
      <c r="R16" s="5">
        <f t="shared" si="3"/>
        <v>8700</v>
      </c>
      <c r="S16"/>
      <c r="T16"/>
      <c r="U16"/>
      <c r="V16"/>
      <c r="W16"/>
      <c r="X16"/>
      <c r="Y16"/>
      <c r="Z16"/>
      <c r="AA16"/>
    </row>
    <row r="17" spans="1:27" s="3" customFormat="1">
      <c r="A17" s="5" t="s">
        <v>44</v>
      </c>
      <c r="B17" s="5" t="s">
        <v>45</v>
      </c>
      <c r="C17" s="5">
        <v>27</v>
      </c>
      <c r="D17" s="5">
        <v>0</v>
      </c>
      <c r="E17" s="5">
        <v>0</v>
      </c>
      <c r="F17" s="5">
        <v>20</v>
      </c>
      <c r="G17" s="5">
        <v>0</v>
      </c>
      <c r="H17" s="5">
        <v>0</v>
      </c>
      <c r="I17" s="5">
        <v>20</v>
      </c>
      <c r="J17" s="5">
        <v>0</v>
      </c>
      <c r="K17" s="5">
        <v>0</v>
      </c>
      <c r="L17" s="5">
        <v>0</v>
      </c>
      <c r="M17" s="5">
        <v>15</v>
      </c>
      <c r="N17" s="5">
        <v>0</v>
      </c>
      <c r="O17" s="5">
        <v>0</v>
      </c>
      <c r="P17" s="5">
        <v>0</v>
      </c>
      <c r="Q17" s="5">
        <f t="shared" si="2"/>
        <v>55</v>
      </c>
      <c r="R17" s="5">
        <f t="shared" si="3"/>
        <v>1485</v>
      </c>
      <c r="S17"/>
      <c r="T17"/>
      <c r="U17"/>
      <c r="V17"/>
      <c r="W17"/>
      <c r="X17"/>
      <c r="Y17"/>
      <c r="Z17"/>
      <c r="AA17"/>
    </row>
    <row r="18" spans="1:27" s="3" customFormat="1">
      <c r="A18" s="5" t="s">
        <v>26</v>
      </c>
      <c r="B18" s="5" t="s">
        <v>27</v>
      </c>
      <c r="C18" s="5">
        <v>145</v>
      </c>
      <c r="D18" s="5">
        <v>27</v>
      </c>
      <c r="E18" s="5">
        <v>10</v>
      </c>
      <c r="F18" s="5">
        <v>10</v>
      </c>
      <c r="G18" s="5">
        <v>10</v>
      </c>
      <c r="H18" s="5">
        <v>10</v>
      </c>
      <c r="I18" s="5">
        <v>10</v>
      </c>
      <c r="J18" s="5">
        <v>10</v>
      </c>
      <c r="K18" s="5">
        <v>20</v>
      </c>
      <c r="L18" s="5">
        <v>4</v>
      </c>
      <c r="M18" s="5">
        <v>4</v>
      </c>
      <c r="N18" s="5">
        <v>0</v>
      </c>
      <c r="O18" s="5">
        <v>5</v>
      </c>
      <c r="P18" s="5">
        <v>10</v>
      </c>
      <c r="Q18" s="5">
        <f t="shared" si="2"/>
        <v>130</v>
      </c>
      <c r="R18" s="5">
        <f t="shared" si="3"/>
        <v>18850</v>
      </c>
      <c r="S18"/>
      <c r="T18"/>
      <c r="U18"/>
      <c r="V18"/>
      <c r="W18"/>
      <c r="X18"/>
      <c r="Y18"/>
      <c r="Z18"/>
      <c r="AA18"/>
    </row>
    <row r="19" spans="1:27" s="3" customFormat="1">
      <c r="A19" s="5" t="s">
        <v>31</v>
      </c>
      <c r="B19" s="5" t="s">
        <v>32</v>
      </c>
      <c r="C19" s="5">
        <v>150</v>
      </c>
      <c r="D19" s="5">
        <v>0</v>
      </c>
      <c r="E19" s="5">
        <v>2</v>
      </c>
      <c r="F19" s="5">
        <v>0</v>
      </c>
      <c r="G19" s="5">
        <v>6</v>
      </c>
      <c r="H19" s="5">
        <v>6</v>
      </c>
      <c r="I19" s="5">
        <v>3</v>
      </c>
      <c r="J19" s="5">
        <v>2</v>
      </c>
      <c r="K19" s="5">
        <v>15</v>
      </c>
      <c r="L19" s="5">
        <v>0</v>
      </c>
      <c r="M19" s="5">
        <v>2</v>
      </c>
      <c r="N19" s="5">
        <v>0</v>
      </c>
      <c r="O19" s="5">
        <v>0</v>
      </c>
      <c r="P19" s="5">
        <v>0</v>
      </c>
      <c r="Q19" s="5">
        <f t="shared" si="2"/>
        <v>36</v>
      </c>
      <c r="R19" s="5">
        <f t="shared" si="3"/>
        <v>5400</v>
      </c>
      <c r="S19"/>
      <c r="T19"/>
      <c r="U19"/>
      <c r="V19"/>
      <c r="W19"/>
      <c r="X19"/>
      <c r="Y19"/>
      <c r="Z19"/>
      <c r="AA19"/>
    </row>
    <row r="20" spans="1:27" s="4" customFormat="1">
      <c r="A20" s="5" t="s">
        <v>46</v>
      </c>
      <c r="B20" s="5" t="s">
        <v>47</v>
      </c>
      <c r="C20" s="5">
        <v>145</v>
      </c>
      <c r="D20" s="5">
        <v>5</v>
      </c>
      <c r="E20" s="5">
        <v>3</v>
      </c>
      <c r="F20" s="5">
        <v>3</v>
      </c>
      <c r="G20" s="5">
        <v>5</v>
      </c>
      <c r="H20" s="5">
        <v>3</v>
      </c>
      <c r="I20" s="5">
        <v>3</v>
      </c>
      <c r="J20" s="5">
        <v>5</v>
      </c>
      <c r="K20" s="5">
        <v>3</v>
      </c>
      <c r="L20" s="5">
        <v>1</v>
      </c>
      <c r="M20" s="5">
        <v>3</v>
      </c>
      <c r="N20" s="5">
        <v>1</v>
      </c>
      <c r="O20" s="5">
        <v>3</v>
      </c>
      <c r="P20" s="5">
        <v>5</v>
      </c>
      <c r="Q20" s="5">
        <f t="shared" ref="Q20:Q24" si="4">SUM(D20:P20)</f>
        <v>43</v>
      </c>
      <c r="R20" s="5">
        <f t="shared" ref="R20:R24" si="5">C20*Q20</f>
        <v>6235</v>
      </c>
      <c r="S20"/>
      <c r="T20"/>
      <c r="U20"/>
      <c r="V20"/>
      <c r="W20"/>
      <c r="X20"/>
      <c r="Y20"/>
      <c r="Z20"/>
      <c r="AA20"/>
    </row>
    <row r="21" spans="1:27">
      <c r="A21" s="5" t="s">
        <v>48</v>
      </c>
      <c r="B21" s="5" t="s">
        <v>49</v>
      </c>
      <c r="C21" s="5">
        <v>150</v>
      </c>
      <c r="D21" s="5">
        <v>10</v>
      </c>
      <c r="E21" s="5">
        <v>0</v>
      </c>
      <c r="F21" s="5">
        <v>0</v>
      </c>
      <c r="G21" s="5">
        <v>5</v>
      </c>
      <c r="H21" s="5">
        <v>0</v>
      </c>
      <c r="I21" s="5">
        <v>5</v>
      </c>
      <c r="J21" s="5">
        <v>5</v>
      </c>
      <c r="K21" s="5">
        <v>5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5">
        <f t="shared" si="4"/>
        <v>35</v>
      </c>
      <c r="R21" s="5">
        <f t="shared" si="5"/>
        <v>5250</v>
      </c>
    </row>
    <row r="22" spans="1:27" s="4" customFormat="1">
      <c r="A22" s="5" t="s">
        <v>50</v>
      </c>
      <c r="B22" s="5" t="s">
        <v>51</v>
      </c>
      <c r="C22" s="5">
        <v>150</v>
      </c>
      <c r="D22" s="5">
        <v>5</v>
      </c>
      <c r="E22" s="5">
        <v>3</v>
      </c>
      <c r="F22" s="5">
        <v>3</v>
      </c>
      <c r="G22" s="5">
        <v>5</v>
      </c>
      <c r="H22" s="5">
        <v>3</v>
      </c>
      <c r="I22" s="5">
        <v>3</v>
      </c>
      <c r="J22" s="5">
        <v>5</v>
      </c>
      <c r="K22" s="5">
        <v>2</v>
      </c>
      <c r="L22" s="5">
        <v>1</v>
      </c>
      <c r="M22" s="5">
        <v>3</v>
      </c>
      <c r="N22" s="5">
        <v>1</v>
      </c>
      <c r="O22" s="5">
        <v>0</v>
      </c>
      <c r="P22" s="5">
        <v>5</v>
      </c>
      <c r="Q22" s="5">
        <f t="shared" si="4"/>
        <v>39</v>
      </c>
      <c r="R22" s="5">
        <f t="shared" si="5"/>
        <v>5850</v>
      </c>
      <c r="S22"/>
      <c r="T22"/>
      <c r="U22"/>
      <c r="V22"/>
      <c r="W22"/>
      <c r="X22"/>
      <c r="Y22"/>
      <c r="Z22"/>
      <c r="AA22"/>
    </row>
    <row r="23" spans="1:27">
      <c r="A23" s="5" t="s">
        <v>52</v>
      </c>
      <c r="B23" s="5" t="s">
        <v>53</v>
      </c>
      <c r="C23" s="5">
        <v>150</v>
      </c>
      <c r="D23" s="5">
        <v>5</v>
      </c>
      <c r="E23" s="5">
        <v>3</v>
      </c>
      <c r="F23" s="5">
        <v>3</v>
      </c>
      <c r="G23" s="5">
        <v>5</v>
      </c>
      <c r="H23" s="5">
        <v>3</v>
      </c>
      <c r="I23" s="5">
        <v>3</v>
      </c>
      <c r="J23" s="5">
        <v>5</v>
      </c>
      <c r="K23" s="5">
        <v>3</v>
      </c>
      <c r="L23" s="5">
        <v>1</v>
      </c>
      <c r="M23" s="5">
        <v>3</v>
      </c>
      <c r="N23" s="5">
        <v>1</v>
      </c>
      <c r="O23" s="5">
        <v>3</v>
      </c>
      <c r="P23" s="5">
        <v>5</v>
      </c>
      <c r="Q23" s="5">
        <f t="shared" si="4"/>
        <v>43</v>
      </c>
      <c r="R23" s="5">
        <f t="shared" si="5"/>
        <v>6450</v>
      </c>
    </row>
    <row r="24" spans="1:27">
      <c r="A24" s="5" t="s">
        <v>54</v>
      </c>
      <c r="B24" s="5" t="s">
        <v>55</v>
      </c>
      <c r="C24" s="5">
        <v>290</v>
      </c>
      <c r="D24" s="5">
        <v>0</v>
      </c>
      <c r="E24" s="5">
        <v>2</v>
      </c>
      <c r="F24" s="5">
        <v>4</v>
      </c>
      <c r="G24" s="5">
        <v>2</v>
      </c>
      <c r="H24" s="5">
        <v>3</v>
      </c>
      <c r="I24" s="5">
        <v>3</v>
      </c>
      <c r="J24" s="5">
        <v>3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</v>
      </c>
      <c r="Q24" s="5">
        <f t="shared" si="4"/>
        <v>21</v>
      </c>
      <c r="R24" s="5">
        <f t="shared" si="5"/>
        <v>6090</v>
      </c>
    </row>
  </sheetData>
  <mergeCells count="18">
    <mergeCell ref="B2:B3"/>
    <mergeCell ref="C2:C3"/>
    <mergeCell ref="B1:C1"/>
    <mergeCell ref="D2:D3"/>
    <mergeCell ref="E2:E3"/>
    <mergeCell ref="F2:F3"/>
    <mergeCell ref="G2:G3"/>
    <mergeCell ref="H2:H3"/>
    <mergeCell ref="I2:I3"/>
    <mergeCell ref="O2:O3"/>
    <mergeCell ref="P2:P3"/>
    <mergeCell ref="R2:R3"/>
    <mergeCell ref="Q2:Q3"/>
    <mergeCell ref="J2:J3"/>
    <mergeCell ref="K2:K3"/>
    <mergeCell ref="L2:L3"/>
    <mergeCell ref="M2:M3"/>
    <mergeCell ref="N2:N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Федів Софія Василівна</dc:creator>
  <cp:lastModifiedBy>Admin</cp:lastModifiedBy>
  <dcterms:created xsi:type="dcterms:W3CDTF">2026-03-10T07:12:02Z</dcterms:created>
  <dcterms:modified xsi:type="dcterms:W3CDTF">2026-07-03T07:14:51Z</dcterms:modified>
</cp:coreProperties>
</file>